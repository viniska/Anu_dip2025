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ALES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<sst xmlns="http://schemas.openxmlformats.org/spreadsheetml/2006/main" count="26" uniqueCount="24">
  <si>
    <t>SALES</t>
  </si>
  <si>
    <t>PRODUCT</t>
  </si>
  <si>
    <t>PRODUCT A</t>
  </si>
  <si>
    <t>PRODUCT B</t>
  </si>
  <si>
    <t>PRODUCT C</t>
  </si>
  <si>
    <t>PRODUCT D</t>
  </si>
  <si>
    <t>PRODUCT E</t>
  </si>
  <si>
    <t>PRODUCT F</t>
  </si>
  <si>
    <t>TARGET</t>
  </si>
  <si>
    <t>REGION</t>
  </si>
  <si>
    <t>NORTH</t>
  </si>
  <si>
    <t>SOUTH</t>
  </si>
  <si>
    <t>EAST</t>
  </si>
  <si>
    <t>WEST</t>
  </si>
  <si>
    <t>SALES TARGET</t>
  </si>
  <si>
    <t>ELIGIBLE PRODUCT</t>
  </si>
  <si>
    <t>COMMISSION RATE</t>
  </si>
  <si>
    <t>BONUS  AMT</t>
  </si>
  <si>
    <t>PERFORMANCE</t>
  </si>
  <si>
    <t>PRICE TIER</t>
  </si>
  <si>
    <t>YEAR BONUS</t>
  </si>
  <si>
    <t>HIGH PERFORMANCE</t>
  </si>
  <si>
    <t>Assignment Lab 1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</si>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</sst>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1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I22" sqref="I22"/>
    </sheetView>
  </sheetViews>
  <sheetFormatPr defaultRowHeight="15" x14ac:dyDescent="0.25"/>
  <cols>
    <col min="1" max="1" width="13.140625" customWidth="1"/>
    <col min="2" max="2" width="12.5703125" customWidth="1"/>
    <col min="4" max="4" width="11.5703125" customWidth="1"/>
    <col min="5" max="5" width="12.42578125" customWidth="1"/>
    <col min="6" max="6" width="16.28515625" customWidth="1"/>
    <col min="7" max="7" width="18.42578125" customWidth="1"/>
    <col min="8" max="8" width="18" customWidth="1"/>
    <col min="9" max="9" width="13" customWidth="1"/>
    <col min="10" max="10" width="19.28515625" customWidth="1"/>
    <col min="11" max="11" width="10.5703125" customWidth="1"/>
    <col min="12" max="12" width="12.85546875" customWidth="1"/>
    <col min="13" max="13" width="22.5703125" customWidth="1"/>
  </cols>
  <sheetData>
    <row r="1" spans="1:13" ht="31.5" x14ac:dyDescent="0.5">
      <c r="A1" s="3"/>
      <c r="B1" s="3"/>
      <c r="C1" s="3"/>
      <c r="D1" s="3"/>
      <c r="F1" s="5" t="s">
        <v>22</v>
      </c>
      <c r="G1" s="5"/>
      <c r="H1" s="3"/>
      <c r="I1" s="3"/>
      <c r="J1" s="3"/>
      <c r="K1" s="3"/>
      <c r="L1" s="3"/>
      <c r="M1" s="3"/>
    </row>
    <row r="2" spans="1:13" x14ac:dyDescent="0.25">
      <c r="A2" s="4" t="s">
        <v>23</v>
      </c>
      <c r="B2" s="4" t="s">
        <v>1</v>
      </c>
      <c r="C2" s="4" t="s">
        <v>0</v>
      </c>
      <c r="D2" s="4" t="s">
        <v>8</v>
      </c>
      <c r="E2" s="4" t="s">
        <v>9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</row>
    <row r="3" spans="1:13" x14ac:dyDescent="0.25">
      <c r="A3" s="9">
        <v>101</v>
      </c>
      <c r="B3" s="7" t="s">
        <v>2</v>
      </c>
      <c r="C3" s="2">
        <v>120</v>
      </c>
      <c r="D3" s="11">
        <v>150</v>
      </c>
      <c r="E3" s="10" t="s">
        <v>10</v>
      </c>
      <c r="F3" s="7" t="str">
        <f>IF(C3&gt;=D3,"MET","NOT MET")</f>
        <v>NOT MET</v>
      </c>
      <c r="G3" s="8" t="str">
        <f>IF(AND(E3="NORTH",C3&gt;=200),"ELIGIBLE","NOT ELIGIBLE")</f>
        <v>NOT ELIGIBLE</v>
      </c>
      <c r="H3" s="1" t="str">
        <f>IF(C3&gt;=200,"10%",IF(C3&gt;=150,"7%","5%"))</f>
        <v>5%</v>
      </c>
      <c r="I3" s="9">
        <f>IF(C3&gt;=D3,C3*10%,C3*5%)</f>
        <v>6</v>
      </c>
      <c r="J3" s="6" t="str">
        <f>IF(C3&gt;=200,"EXCELLENT",IF(C3&gt;=150,"GOOD","NEED IMPROVEMENT"))</f>
        <v>NEED IMPROVEMENT</v>
      </c>
      <c r="K3" s="2" t="str">
        <f>IF(C3&gt;200,"HIGH",IF(C3&gt;100,"MEDIUM",IF(C3&lt;100,"LOW")))</f>
        <v>MEDIUM</v>
      </c>
      <c r="L3" s="8">
        <f>IF(AND(C3&gt;=150,E3="NORTH"),500,300)</f>
        <v>300</v>
      </c>
      <c r="M3" s="1" t="str">
        <f>IF(C3 &gt;= PERCENTILE($C$3:$C$8, 0.75), "HIGH PERFORMANCE", "Normal")</f>
        <v>Normal</v>
      </c>
    </row>
    <row r="4" spans="1:13" x14ac:dyDescent="0.25">
      <c r="A4" s="9">
        <v>102</v>
      </c>
      <c r="B4" s="7" t="s">
        <v>3</v>
      </c>
      <c r="C4" s="2">
        <v>150</v>
      </c>
      <c r="D4" s="11">
        <v>140</v>
      </c>
      <c r="E4" s="10" t="s">
        <v>11</v>
      </c>
      <c r="F4" s="7" t="str">
        <f t="shared" ref="F4:F8" si="0">IF(C4&gt;=D4,"MET","NOT MET")</f>
        <v>MET</v>
      </c>
      <c r="G4" s="8" t="str">
        <f t="shared" ref="G4:G8" si="1">IF(AND(E4="NORTH",C4&gt;=200),"ELIGIBLE","NOT ELIGIBLE")</f>
        <v>NOT ELIGIBLE</v>
      </c>
      <c r="H4" s="1" t="str">
        <f t="shared" ref="H4:H8" si="2">IF(C4&gt;=200,"10%",IF(C4&gt;=150,"7%","5%"))</f>
        <v>7%</v>
      </c>
      <c r="I4" s="9">
        <f t="shared" ref="I4:I8" si="3">IF(C4&gt;=D4,C4*10%,C4*5%)</f>
        <v>15</v>
      </c>
      <c r="J4" s="6" t="str">
        <f t="shared" ref="J4:J8" si="4">IF(C4&gt;=200,"EXCELLENT",IF(C4&gt;=150,"GOOD","NEED IMPROVEMENT"))</f>
        <v>GOOD</v>
      </c>
      <c r="K4" s="2" t="str">
        <f t="shared" ref="K4:K8" si="5">IF(C4&gt;200,"HIGH",IF(C4&gt;100,"MEDIUM",IF(C4&lt;100,"LOW")))</f>
        <v>MEDIUM</v>
      </c>
      <c r="L4" s="8">
        <f t="shared" ref="L4:L8" si="6">IF(AND(C4&gt;=150,E4="NORTH"),500,300)</f>
        <v>300</v>
      </c>
      <c r="M4" s="1" t="str">
        <f t="shared" ref="M4:M8" si="7">IF(C4 &gt;= PERCENTILE($C$3:$C$8, 0.75), "HIGH PERFORMANCE", "Normal")</f>
        <v>Normal</v>
      </c>
    </row>
    <row r="5" spans="1:13" x14ac:dyDescent="0.25">
      <c r="A5" s="9">
        <v>103</v>
      </c>
      <c r="B5" s="7" t="s">
        <v>4</v>
      </c>
      <c r="C5" s="2">
        <v>200</v>
      </c>
      <c r="D5" s="11">
        <v>200</v>
      </c>
      <c r="E5" s="10" t="s">
        <v>12</v>
      </c>
      <c r="F5" s="7" t="str">
        <f t="shared" si="0"/>
        <v>MET</v>
      </c>
      <c r="G5" s="8" t="str">
        <f t="shared" si="1"/>
        <v>NOT ELIGIBLE</v>
      </c>
      <c r="H5" s="1" t="str">
        <f t="shared" si="2"/>
        <v>10%</v>
      </c>
      <c r="I5" s="9">
        <f t="shared" si="3"/>
        <v>20</v>
      </c>
      <c r="J5" s="6" t="str">
        <f t="shared" si="4"/>
        <v>EXCELLENT</v>
      </c>
      <c r="K5" s="2" t="str">
        <f t="shared" si="5"/>
        <v>MEDIUM</v>
      </c>
      <c r="L5" s="8">
        <f t="shared" si="6"/>
        <v>300</v>
      </c>
      <c r="M5" s="1" t="str">
        <f t="shared" si="7"/>
        <v>HIGH PERFORMANCE</v>
      </c>
    </row>
    <row r="6" spans="1:13" x14ac:dyDescent="0.25">
      <c r="A6" s="9">
        <v>104</v>
      </c>
      <c r="B6" s="7" t="s">
        <v>5</v>
      </c>
      <c r="C6" s="2">
        <v>90</v>
      </c>
      <c r="D6" s="11">
        <v>100</v>
      </c>
      <c r="E6" s="10" t="s">
        <v>13</v>
      </c>
      <c r="F6" s="7" t="str">
        <f t="shared" si="0"/>
        <v>NOT MET</v>
      </c>
      <c r="G6" s="8" t="str">
        <f t="shared" si="1"/>
        <v>NOT ELIGIBLE</v>
      </c>
      <c r="H6" s="1" t="str">
        <f t="shared" si="2"/>
        <v>5%</v>
      </c>
      <c r="I6" s="9">
        <f t="shared" si="3"/>
        <v>4.5</v>
      </c>
      <c r="J6" s="6" t="str">
        <f t="shared" si="4"/>
        <v>NEED IMPROVEMENT</v>
      </c>
      <c r="K6" s="2" t="str">
        <f t="shared" si="5"/>
        <v>LOW</v>
      </c>
      <c r="L6" s="8">
        <f t="shared" si="6"/>
        <v>300</v>
      </c>
      <c r="M6" s="1" t="str">
        <f t="shared" si="7"/>
        <v>Normal</v>
      </c>
    </row>
    <row r="7" spans="1:13" x14ac:dyDescent="0.25">
      <c r="A7" s="9">
        <v>105</v>
      </c>
      <c r="B7" s="7" t="s">
        <v>6</v>
      </c>
      <c r="C7" s="2">
        <v>220</v>
      </c>
      <c r="D7" s="11">
        <v>210</v>
      </c>
      <c r="E7" s="10" t="s">
        <v>10</v>
      </c>
      <c r="F7" s="7" t="str">
        <f t="shared" si="0"/>
        <v>MET</v>
      </c>
      <c r="G7" s="8" t="str">
        <f t="shared" si="1"/>
        <v>ELIGIBLE</v>
      </c>
      <c r="H7" s="1" t="str">
        <f t="shared" si="2"/>
        <v>10%</v>
      </c>
      <c r="I7" s="9">
        <f t="shared" si="3"/>
        <v>22</v>
      </c>
      <c r="J7" s="6" t="str">
        <f t="shared" si="4"/>
        <v>EXCELLENT</v>
      </c>
      <c r="K7" s="2" t="str">
        <f t="shared" si="5"/>
        <v>HIGH</v>
      </c>
      <c r="L7" s="8">
        <f t="shared" si="6"/>
        <v>500</v>
      </c>
      <c r="M7" s="1" t="str">
        <f t="shared" si="7"/>
        <v>HIGH PERFORMANCE</v>
      </c>
    </row>
    <row r="8" spans="1:13" x14ac:dyDescent="0.25">
      <c r="A8" s="9">
        <v>106</v>
      </c>
      <c r="B8" s="7" t="s">
        <v>7</v>
      </c>
      <c r="C8" s="2">
        <v>130</v>
      </c>
      <c r="D8" s="11">
        <v>160</v>
      </c>
      <c r="E8" s="10" t="s">
        <v>11</v>
      </c>
      <c r="F8" s="7" t="str">
        <f t="shared" si="0"/>
        <v>NOT MET</v>
      </c>
      <c r="G8" s="8" t="str">
        <f t="shared" si="1"/>
        <v>NOT ELIGIBLE</v>
      </c>
      <c r="H8" s="1" t="str">
        <f t="shared" si="2"/>
        <v>5%</v>
      </c>
      <c r="I8" s="9">
        <f t="shared" si="3"/>
        <v>6.5</v>
      </c>
      <c r="J8" s="6" t="str">
        <f t="shared" si="4"/>
        <v>NEED IMPROVEMENT</v>
      </c>
      <c r="K8" s="2" t="str">
        <f t="shared" si="5"/>
        <v>MEDIUM</v>
      </c>
      <c r="L8" s="8">
        <f t="shared" si="6"/>
        <v>300</v>
      </c>
      <c r="M8" s="1" t="str">
        <f t="shared" si="7"/>
        <v>Normal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2025-11-23T13:43:24Z</dcterms:created>
  <dcterms:modified xsi:type="dcterms:W3CDTF">2025-12-03T16:54:48Z</dcterms:modified>
</cp:coreProperties>
</file>