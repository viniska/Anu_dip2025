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RIJ\Desktop\DATA ANALYSIS\LAB\"/>
    </mc:Choice>
  </mc:AlternateContent>
  <xr:revisionPtr revIDLastSave="0" documentId="13_ncr:1_{1BCD7F45-CEEA-42C1-BCDA-B31570F202C0}" xr6:coauthVersionLast="47" xr6:coauthVersionMax="47" xr10:uidLastSave="{00000000-0000-0000-0000-000000000000}"/>
  <bookViews>
    <workbookView xWindow="-120" yWindow="-120" windowWidth="20730" windowHeight="11160" activeTab="3" xr2:uid="{00000000-000D-0000-FFFF-FFFF00000000}"/>
  </bookViews>
  <sheets>
    <sheet name="Data" sheetId="1" r:id="rId1"/>
    <sheet name="Function" sheetId="2" r:id="rId2"/>
    <sheet name="Pivot Table" sheetId="3" r:id="rId3"/>
    <sheet name="Dashboard" sheetId="5" r:id="rId4"/>
  </sheets>
  <definedNames>
    <definedName name="Slicer_Payment_Mode">#N/A</definedName>
    <definedName name="Slicer_Product_Category">#N/A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5" l="1"/>
  <c r="B2" i="5"/>
  <c r="D55" i="2"/>
  <c r="D52" i="2"/>
  <c r="B51" i="2"/>
  <c r="B50" i="2"/>
  <c r="B49" i="2"/>
  <c r="B45" i="2"/>
  <c r="B40" i="2"/>
  <c r="B36" i="2"/>
  <c r="B32" i="2"/>
  <c r="F2" i="5"/>
  <c r="D2" i="5"/>
  <c r="B28" i="2"/>
  <c r="B27" i="2"/>
  <c r="B23" i="2"/>
  <c r="B19" i="2"/>
  <c r="B16" i="2"/>
  <c r="B12" i="2"/>
  <c r="B8" i="2"/>
  <c r="B4" i="2"/>
</calcChain>
</file>

<file path=xl/sharedStrings.xml><?xml version="1.0" encoding="utf-8"?>
<sst xmlns="http://schemas.openxmlformats.org/spreadsheetml/2006/main" count="4131" uniqueCount="1321">
  <si>
    <t>Order ID</t>
  </si>
  <si>
    <t>Date</t>
  </si>
  <si>
    <t>Customer Name</t>
  </si>
  <si>
    <t>Region</t>
  </si>
  <si>
    <t>Product Category</t>
  </si>
  <si>
    <t>Product Name</t>
  </si>
  <si>
    <t>Quantity</t>
  </si>
  <si>
    <t>Unit Price</t>
  </si>
  <si>
    <t>Total Sales</t>
  </si>
  <si>
    <t>Payment Mode</t>
  </si>
  <si>
    <t>Salesperson</t>
  </si>
  <si>
    <t>ORD0001</t>
  </si>
  <si>
    <t>2024-07-08</t>
  </si>
  <si>
    <t>Customer 1</t>
  </si>
  <si>
    <t>West</t>
  </si>
  <si>
    <t>Furniture</t>
  </si>
  <si>
    <t>Bed</t>
  </si>
  <si>
    <t>Credit Card</t>
  </si>
  <si>
    <t>Vibek</t>
  </si>
  <si>
    <t>ORD0002</t>
  </si>
  <si>
    <t>2024-09-29</t>
  </si>
  <si>
    <t>Customer 2</t>
  </si>
  <si>
    <t>North</t>
  </si>
  <si>
    <t>Table</t>
  </si>
  <si>
    <t>John</t>
  </si>
  <si>
    <t>ORD0003</t>
  </si>
  <si>
    <t>2024-07-30</t>
  </si>
  <si>
    <t>Customer 3</t>
  </si>
  <si>
    <t>Groceries</t>
  </si>
  <si>
    <t>Eggs</t>
  </si>
  <si>
    <t>Debit Card</t>
  </si>
  <si>
    <t>ORD0004</t>
  </si>
  <si>
    <t>2024-07-31</t>
  </si>
  <si>
    <t>Customer 4</t>
  </si>
  <si>
    <t>Clothing</t>
  </si>
  <si>
    <t>Shirt</t>
  </si>
  <si>
    <t>UPI</t>
  </si>
  <si>
    <t>ORD0005</t>
  </si>
  <si>
    <t>2024-04-19</t>
  </si>
  <si>
    <t>Customer 5</t>
  </si>
  <si>
    <t>South</t>
  </si>
  <si>
    <t>Rice</t>
  </si>
  <si>
    <t>Rahul</t>
  </si>
  <si>
    <t>ORD0006</t>
  </si>
  <si>
    <t>2024-07-05</t>
  </si>
  <si>
    <t>Customer 6</t>
  </si>
  <si>
    <t>East</t>
  </si>
  <si>
    <t>Jeans</t>
  </si>
  <si>
    <t>Nisha</t>
  </si>
  <si>
    <t>ORD0007</t>
  </si>
  <si>
    <t>2024-03-18</t>
  </si>
  <si>
    <t>Customer 7</t>
  </si>
  <si>
    <t>Milk</t>
  </si>
  <si>
    <t>Amit</t>
  </si>
  <si>
    <t>ORD0008</t>
  </si>
  <si>
    <t>2024-01-17</t>
  </si>
  <si>
    <t>Customer 8</t>
  </si>
  <si>
    <t>Electronics</t>
  </si>
  <si>
    <t>Laptop</t>
  </si>
  <si>
    <t>ORD0009</t>
  </si>
  <si>
    <t>2024-06-19</t>
  </si>
  <si>
    <t>Customer 9</t>
  </si>
  <si>
    <t>Cash</t>
  </si>
  <si>
    <t>ORD0010</t>
  </si>
  <si>
    <t>2024-09-27</t>
  </si>
  <si>
    <t>Customer 10</t>
  </si>
  <si>
    <t>Chair</t>
  </si>
  <si>
    <t>ORD0011</t>
  </si>
  <si>
    <t>2024-09-12</t>
  </si>
  <si>
    <t>Customer 11</t>
  </si>
  <si>
    <t>Sneha</t>
  </si>
  <si>
    <t>ORD0012</t>
  </si>
  <si>
    <t>2024-01-19</t>
  </si>
  <si>
    <t>Customer 12</t>
  </si>
  <si>
    <t>ORD0013</t>
  </si>
  <si>
    <t>2024-08-19</t>
  </si>
  <si>
    <t>Customer 13</t>
  </si>
  <si>
    <t>Priya</t>
  </si>
  <si>
    <t>ORD0014</t>
  </si>
  <si>
    <t>2024-04-03</t>
  </si>
  <si>
    <t>Customer 14</t>
  </si>
  <si>
    <t>ORD0015</t>
  </si>
  <si>
    <t>2024-10-16</t>
  </si>
  <si>
    <t>Customer 15</t>
  </si>
  <si>
    <t>Jacket</t>
  </si>
  <si>
    <t>ORD0016</t>
  </si>
  <si>
    <t>2024-05-05</t>
  </si>
  <si>
    <t>Customer 16</t>
  </si>
  <si>
    <t>ORD0017</t>
  </si>
  <si>
    <t>2024-10-20</t>
  </si>
  <si>
    <t>Customer 17</t>
  </si>
  <si>
    <t>ORD0018</t>
  </si>
  <si>
    <t>2024-07-25</t>
  </si>
  <si>
    <t>Customer 18</t>
  </si>
  <si>
    <t>ORD0019</t>
  </si>
  <si>
    <t>2024-02-29</t>
  </si>
  <si>
    <t>Customer 19</t>
  </si>
  <si>
    <t>ORD0020</t>
  </si>
  <si>
    <t>2024-05-01</t>
  </si>
  <si>
    <t>Customer 20</t>
  </si>
  <si>
    <t>ORD0021</t>
  </si>
  <si>
    <t>2024-02-15</t>
  </si>
  <si>
    <t>Customer 21</t>
  </si>
  <si>
    <t>ORD0022</t>
  </si>
  <si>
    <t>2024-08-26</t>
  </si>
  <si>
    <t>Customer 22</t>
  </si>
  <si>
    <t>Mobile</t>
  </si>
  <si>
    <t>ORD0023</t>
  </si>
  <si>
    <t>Customer 23</t>
  </si>
  <si>
    <t>ORD0024</t>
  </si>
  <si>
    <t>2024-07-03</t>
  </si>
  <si>
    <t>Customer 24</t>
  </si>
  <si>
    <t>Shoes</t>
  </si>
  <si>
    <t>ORD0025</t>
  </si>
  <si>
    <t>2024-02-25</t>
  </si>
  <si>
    <t>Customer 25</t>
  </si>
  <si>
    <t>ORD0026</t>
  </si>
  <si>
    <t>2024-04-08</t>
  </si>
  <si>
    <t>Customer 26</t>
  </si>
  <si>
    <t>Bread</t>
  </si>
  <si>
    <t>ORD0027</t>
  </si>
  <si>
    <t>2024-05-04</t>
  </si>
  <si>
    <t>Customer 27</t>
  </si>
  <si>
    <t>ORD0028</t>
  </si>
  <si>
    <t>2024-03-17</t>
  </si>
  <si>
    <t>Customer 28</t>
  </si>
  <si>
    <t>ORD0029</t>
  </si>
  <si>
    <t>2024-10-23</t>
  </si>
  <si>
    <t>Customer 29</t>
  </si>
  <si>
    <t>ORD0030</t>
  </si>
  <si>
    <t>2024-08-11</t>
  </si>
  <si>
    <t>Customer 30</t>
  </si>
  <si>
    <t>ORD0031</t>
  </si>
  <si>
    <t>2024-05-15</t>
  </si>
  <si>
    <t>Customer 31</t>
  </si>
  <si>
    <t>Headphones</t>
  </si>
  <si>
    <t>ORD0032</t>
  </si>
  <si>
    <t>2024-08-22</t>
  </si>
  <si>
    <t>Customer 32</t>
  </si>
  <si>
    <t>Camera</t>
  </si>
  <si>
    <t>ORD0033</t>
  </si>
  <si>
    <t>2024-08-21</t>
  </si>
  <si>
    <t>Customer 33</t>
  </si>
  <si>
    <t>ORD0034</t>
  </si>
  <si>
    <t>Customer 34</t>
  </si>
  <si>
    <t>ORD0035</t>
  </si>
  <si>
    <t>2024-01-07</t>
  </si>
  <si>
    <t>Customer 35</t>
  </si>
  <si>
    <t>ORD0036</t>
  </si>
  <si>
    <t>2024-09-11</t>
  </si>
  <si>
    <t>Customer 36</t>
  </si>
  <si>
    <t>ORD0037</t>
  </si>
  <si>
    <t>2024-07-02</t>
  </si>
  <si>
    <t>Customer 37</t>
  </si>
  <si>
    <t>Sofa</t>
  </si>
  <si>
    <t>ORD0038</t>
  </si>
  <si>
    <t>2024-07-22</t>
  </si>
  <si>
    <t>Customer 38</t>
  </si>
  <si>
    <t>ORD0039</t>
  </si>
  <si>
    <t>2024-06-11</t>
  </si>
  <si>
    <t>Customer 39</t>
  </si>
  <si>
    <t>ORD0040</t>
  </si>
  <si>
    <t>2024-03-09</t>
  </si>
  <si>
    <t>Customer 40</t>
  </si>
  <si>
    <t>ORD0041</t>
  </si>
  <si>
    <t>2024-01-15</t>
  </si>
  <si>
    <t>Customer 41</t>
  </si>
  <si>
    <t>ORD0042</t>
  </si>
  <si>
    <t>2024-08-25</t>
  </si>
  <si>
    <t>Customer 42</t>
  </si>
  <si>
    <t>ORD0043</t>
  </si>
  <si>
    <t>2024-06-14</t>
  </si>
  <si>
    <t>Customer 43</t>
  </si>
  <si>
    <t>ORD0044</t>
  </si>
  <si>
    <t>2024-01-28</t>
  </si>
  <si>
    <t>Customer 44</t>
  </si>
  <si>
    <t>ORD0045</t>
  </si>
  <si>
    <t>Customer 45</t>
  </si>
  <si>
    <t>ORD0046</t>
  </si>
  <si>
    <t>2024-02-09</t>
  </si>
  <si>
    <t>Customer 46</t>
  </si>
  <si>
    <t>ORD0047</t>
  </si>
  <si>
    <t>Customer 47</t>
  </si>
  <si>
    <t>ORD0048</t>
  </si>
  <si>
    <t>2024-10-02</t>
  </si>
  <si>
    <t>Customer 48</t>
  </si>
  <si>
    <t>ORD0049</t>
  </si>
  <si>
    <t>Customer 49</t>
  </si>
  <si>
    <t>ORD0050</t>
  </si>
  <si>
    <t>2024-10-08</t>
  </si>
  <si>
    <t>Customer 50</t>
  </si>
  <si>
    <t>ORD0051</t>
  </si>
  <si>
    <t>Customer 51</t>
  </si>
  <si>
    <t>ORD0052</t>
  </si>
  <si>
    <t>Customer 52</t>
  </si>
  <si>
    <t>ORD0053</t>
  </si>
  <si>
    <t>2024-06-05</t>
  </si>
  <si>
    <t>Customer 53</t>
  </si>
  <si>
    <t>ORD0054</t>
  </si>
  <si>
    <t>Customer 54</t>
  </si>
  <si>
    <t>ORD0055</t>
  </si>
  <si>
    <t>2024-06-10</t>
  </si>
  <si>
    <t>Customer 55</t>
  </si>
  <si>
    <t>ORD0056</t>
  </si>
  <si>
    <t>2024-08-18</t>
  </si>
  <si>
    <t>Customer 56</t>
  </si>
  <si>
    <t>ORD0057</t>
  </si>
  <si>
    <t>Customer 57</t>
  </si>
  <si>
    <t>ORD0058</t>
  </si>
  <si>
    <t>Customer 58</t>
  </si>
  <si>
    <t>ORD0059</t>
  </si>
  <si>
    <t>2024-01-09</t>
  </si>
  <si>
    <t>Customer 59</t>
  </si>
  <si>
    <t>ORD0060</t>
  </si>
  <si>
    <t>2024-03-12</t>
  </si>
  <si>
    <t>Customer 60</t>
  </si>
  <si>
    <t>ORD0061</t>
  </si>
  <si>
    <t>2024-05-18</t>
  </si>
  <si>
    <t>Customer 61</t>
  </si>
  <si>
    <t>ORD0062</t>
  </si>
  <si>
    <t>2024-07-07</t>
  </si>
  <si>
    <t>Customer 62</t>
  </si>
  <si>
    <t>ORD0063</t>
  </si>
  <si>
    <t>2024-10-26</t>
  </si>
  <si>
    <t>Customer 63</t>
  </si>
  <si>
    <t>ORD0064</t>
  </si>
  <si>
    <t>2024-06-29</t>
  </si>
  <si>
    <t>Customer 64</t>
  </si>
  <si>
    <t>ORD0065</t>
  </si>
  <si>
    <t>2024-06-23</t>
  </si>
  <si>
    <t>Customer 65</t>
  </si>
  <si>
    <t>ORD0066</t>
  </si>
  <si>
    <t>2024-04-05</t>
  </si>
  <si>
    <t>Customer 66</t>
  </si>
  <si>
    <t>ORD0067</t>
  </si>
  <si>
    <t>2024-09-08</t>
  </si>
  <si>
    <t>Customer 67</t>
  </si>
  <si>
    <t>ORD0068</t>
  </si>
  <si>
    <t>2024-07-04</t>
  </si>
  <si>
    <t>Customer 68</t>
  </si>
  <si>
    <t>ORD0069</t>
  </si>
  <si>
    <t>2024-07-23</t>
  </si>
  <si>
    <t>Customer 69</t>
  </si>
  <si>
    <t>ORD0070</t>
  </si>
  <si>
    <t>2024-08-13</t>
  </si>
  <si>
    <t>Customer 70</t>
  </si>
  <si>
    <t>ORD0071</t>
  </si>
  <si>
    <t>2024-05-12</t>
  </si>
  <si>
    <t>Customer 71</t>
  </si>
  <si>
    <t>ORD0072</t>
  </si>
  <si>
    <t>2024-07-24</t>
  </si>
  <si>
    <t>Customer 72</t>
  </si>
  <si>
    <t>ORD0073</t>
  </si>
  <si>
    <t>2024-03-06</t>
  </si>
  <si>
    <t>Customer 73</t>
  </si>
  <si>
    <t>ORD0074</t>
  </si>
  <si>
    <t>Customer 74</t>
  </si>
  <si>
    <t>ORD0075</t>
  </si>
  <si>
    <t>2024-04-20</t>
  </si>
  <si>
    <t>Customer 75</t>
  </si>
  <si>
    <t>ORD0076</t>
  </si>
  <si>
    <t>2024-05-11</t>
  </si>
  <si>
    <t>Customer 76</t>
  </si>
  <si>
    <t>ORD0077</t>
  </si>
  <si>
    <t>2024-03-07</t>
  </si>
  <si>
    <t>Customer 77</t>
  </si>
  <si>
    <t>ORD0078</t>
  </si>
  <si>
    <t>2024-02-28</t>
  </si>
  <si>
    <t>Customer 78</t>
  </si>
  <si>
    <t>ORD0079</t>
  </si>
  <si>
    <t>Customer 79</t>
  </si>
  <si>
    <t>ORD0080</t>
  </si>
  <si>
    <t>2024-09-13</t>
  </si>
  <si>
    <t>Customer 80</t>
  </si>
  <si>
    <t>ORD0081</t>
  </si>
  <si>
    <t>2024-09-18</t>
  </si>
  <si>
    <t>Customer 81</t>
  </si>
  <si>
    <t>ORD0082</t>
  </si>
  <si>
    <t>2024-09-06</t>
  </si>
  <si>
    <t>Customer 82</t>
  </si>
  <si>
    <t>ORD0083</t>
  </si>
  <si>
    <t>Customer 83</t>
  </si>
  <si>
    <t>ORD0084</t>
  </si>
  <si>
    <t>Customer 84</t>
  </si>
  <si>
    <t>ORD0085</t>
  </si>
  <si>
    <t>2024-08-29</t>
  </si>
  <si>
    <t>Customer 85</t>
  </si>
  <si>
    <t>ORD0086</t>
  </si>
  <si>
    <t>2024-07-18</t>
  </si>
  <si>
    <t>Customer 86</t>
  </si>
  <si>
    <t>ORD0087</t>
  </si>
  <si>
    <t>2024-09-23</t>
  </si>
  <si>
    <t>Customer 87</t>
  </si>
  <si>
    <t>ORD0088</t>
  </si>
  <si>
    <t>2024-02-19</t>
  </si>
  <si>
    <t>Customer 88</t>
  </si>
  <si>
    <t>ORD0089</t>
  </si>
  <si>
    <t>Customer 89</t>
  </si>
  <si>
    <t>ORD0090</t>
  </si>
  <si>
    <t>2024-07-28</t>
  </si>
  <si>
    <t>Customer 90</t>
  </si>
  <si>
    <t>ORD0091</t>
  </si>
  <si>
    <t>2024-09-20</t>
  </si>
  <si>
    <t>Customer 91</t>
  </si>
  <si>
    <t>ORD0092</t>
  </si>
  <si>
    <t>2024-06-01</t>
  </si>
  <si>
    <t>Customer 92</t>
  </si>
  <si>
    <t>ORD0093</t>
  </si>
  <si>
    <t>2024-07-19</t>
  </si>
  <si>
    <t>Customer 93</t>
  </si>
  <si>
    <t>ORD0094</t>
  </si>
  <si>
    <t>2024-01-20</t>
  </si>
  <si>
    <t>Customer 94</t>
  </si>
  <si>
    <t>ORD0095</t>
  </si>
  <si>
    <t>2024-05-21</t>
  </si>
  <si>
    <t>Customer 95</t>
  </si>
  <si>
    <t>ORD0096</t>
  </si>
  <si>
    <t>2024-08-08</t>
  </si>
  <si>
    <t>Customer 96</t>
  </si>
  <si>
    <t>ORD0097</t>
  </si>
  <si>
    <t>Customer 97</t>
  </si>
  <si>
    <t>ORD0098</t>
  </si>
  <si>
    <t>2024-07-10</t>
  </si>
  <si>
    <t>Customer 98</t>
  </si>
  <si>
    <t>ORD0099</t>
  </si>
  <si>
    <t>2024-08-28</t>
  </si>
  <si>
    <t>Customer 99</t>
  </si>
  <si>
    <t>ORD0100</t>
  </si>
  <si>
    <t>Customer 100</t>
  </si>
  <si>
    <t>ORD0101</t>
  </si>
  <si>
    <t>Customer 101</t>
  </si>
  <si>
    <t>ORD0102</t>
  </si>
  <si>
    <t>Customer 102</t>
  </si>
  <si>
    <t>ORD0103</t>
  </si>
  <si>
    <t>2024-01-27</t>
  </si>
  <si>
    <t>Customer 103</t>
  </si>
  <si>
    <t>ORD0104</t>
  </si>
  <si>
    <t>2024-03-30</t>
  </si>
  <si>
    <t>Customer 104</t>
  </si>
  <si>
    <t>ORD0105</t>
  </si>
  <si>
    <t>2024-10-17</t>
  </si>
  <si>
    <t>Customer 105</t>
  </si>
  <si>
    <t>ORD0106</t>
  </si>
  <si>
    <t>2024-04-15</t>
  </si>
  <si>
    <t>Customer 106</t>
  </si>
  <si>
    <t>ORD0107</t>
  </si>
  <si>
    <t>2024-05-06</t>
  </si>
  <si>
    <t>Customer 107</t>
  </si>
  <si>
    <t>ORD0108</t>
  </si>
  <si>
    <t>2024-10-14</t>
  </si>
  <si>
    <t>Customer 108</t>
  </si>
  <si>
    <t>ORD0109</t>
  </si>
  <si>
    <t>2024-06-09</t>
  </si>
  <si>
    <t>Customer 109</t>
  </si>
  <si>
    <t>ORD0110</t>
  </si>
  <si>
    <t>2024-05-19</t>
  </si>
  <si>
    <t>Customer 110</t>
  </si>
  <si>
    <t>ORD0111</t>
  </si>
  <si>
    <t>2024-05-20</t>
  </si>
  <si>
    <t>Customer 111</t>
  </si>
  <si>
    <t>ORD0112</t>
  </si>
  <si>
    <t>2024-06-21</t>
  </si>
  <si>
    <t>Customer 112</t>
  </si>
  <si>
    <t>ORD0113</t>
  </si>
  <si>
    <t>2024-02-20</t>
  </si>
  <si>
    <t>Customer 113</t>
  </si>
  <si>
    <t>ORD0114</t>
  </si>
  <si>
    <t>2024-05-03</t>
  </si>
  <si>
    <t>Customer 114</t>
  </si>
  <si>
    <t>ORD0115</t>
  </si>
  <si>
    <t>2024-08-30</t>
  </si>
  <si>
    <t>Customer 115</t>
  </si>
  <si>
    <t>ORD0116</t>
  </si>
  <si>
    <t>2024-09-04</t>
  </si>
  <si>
    <t>Customer 116</t>
  </si>
  <si>
    <t>ORD0117</t>
  </si>
  <si>
    <t>2024-06-30</t>
  </si>
  <si>
    <t>Customer 117</t>
  </si>
  <si>
    <t>ORD0118</t>
  </si>
  <si>
    <t>2024-06-17</t>
  </si>
  <si>
    <t>Customer 118</t>
  </si>
  <si>
    <t>ORD0119</t>
  </si>
  <si>
    <t>2024-10-25</t>
  </si>
  <si>
    <t>Customer 119</t>
  </si>
  <si>
    <t>ORD0120</t>
  </si>
  <si>
    <t>2024-03-03</t>
  </si>
  <si>
    <t>Customer 120</t>
  </si>
  <si>
    <t>ORD0121</t>
  </si>
  <si>
    <t>2024-08-17</t>
  </si>
  <si>
    <t>Customer 121</t>
  </si>
  <si>
    <t>ORD0122</t>
  </si>
  <si>
    <t>2024-06-18</t>
  </si>
  <si>
    <t>Customer 122</t>
  </si>
  <si>
    <t>ORD0123</t>
  </si>
  <si>
    <t>2024-02-27</t>
  </si>
  <si>
    <t>Customer 123</t>
  </si>
  <si>
    <t>ORD0124</t>
  </si>
  <si>
    <t>2024-01-30</t>
  </si>
  <si>
    <t>Customer 124</t>
  </si>
  <si>
    <t>ORD0125</t>
  </si>
  <si>
    <t>2024-03-19</t>
  </si>
  <si>
    <t>Customer 125</t>
  </si>
  <si>
    <t>ORD0126</t>
  </si>
  <si>
    <t>Customer 126</t>
  </si>
  <si>
    <t>ORD0127</t>
  </si>
  <si>
    <t>2024-05-17</t>
  </si>
  <si>
    <t>Customer 127</t>
  </si>
  <si>
    <t>ORD0128</t>
  </si>
  <si>
    <t>2024-10-21</t>
  </si>
  <si>
    <t>Customer 128</t>
  </si>
  <si>
    <t>ORD0129</t>
  </si>
  <si>
    <t>2024-01-14</t>
  </si>
  <si>
    <t>Customer 129</t>
  </si>
  <si>
    <t>ORD0130</t>
  </si>
  <si>
    <t>2024-01-26</t>
  </si>
  <si>
    <t>Customer 130</t>
  </si>
  <si>
    <t>ORD0131</t>
  </si>
  <si>
    <t>2024-05-24</t>
  </si>
  <si>
    <t>Customer 131</t>
  </si>
  <si>
    <t>ORD0132</t>
  </si>
  <si>
    <t>2024-08-07</t>
  </si>
  <si>
    <t>Customer 132</t>
  </si>
  <si>
    <t>ORD0133</t>
  </si>
  <si>
    <t>2024-01-31</t>
  </si>
  <si>
    <t>Customer 133</t>
  </si>
  <si>
    <t>ORD0134</t>
  </si>
  <si>
    <t>Customer 134</t>
  </si>
  <si>
    <t>ORD0135</t>
  </si>
  <si>
    <t>2024-09-22</t>
  </si>
  <si>
    <t>Customer 135</t>
  </si>
  <si>
    <t>ORD0136</t>
  </si>
  <si>
    <t>Customer 136</t>
  </si>
  <si>
    <t>ORD0137</t>
  </si>
  <si>
    <t>2024-02-12</t>
  </si>
  <si>
    <t>Customer 137</t>
  </si>
  <si>
    <t>ORD0138</t>
  </si>
  <si>
    <t>2024-03-28</t>
  </si>
  <si>
    <t>Customer 138</t>
  </si>
  <si>
    <t>ORD0139</t>
  </si>
  <si>
    <t>2024-04-30</t>
  </si>
  <si>
    <t>Customer 139</t>
  </si>
  <si>
    <t>ORD0140</t>
  </si>
  <si>
    <t>Customer 140</t>
  </si>
  <si>
    <t>ORD0141</t>
  </si>
  <si>
    <t>Customer 141</t>
  </si>
  <si>
    <t>ORD0142</t>
  </si>
  <si>
    <t>Customer 142</t>
  </si>
  <si>
    <t>ORD0143</t>
  </si>
  <si>
    <t>2024-08-20</t>
  </si>
  <si>
    <t>Customer 143</t>
  </si>
  <si>
    <t>ORD0144</t>
  </si>
  <si>
    <t>2024-01-13</t>
  </si>
  <si>
    <t>Customer 144</t>
  </si>
  <si>
    <t>ORD0145</t>
  </si>
  <si>
    <t>2024-01-12</t>
  </si>
  <si>
    <t>Customer 145</t>
  </si>
  <si>
    <t>ORD0146</t>
  </si>
  <si>
    <t>2024-01-23</t>
  </si>
  <si>
    <t>Customer 146</t>
  </si>
  <si>
    <t>ORD0147</t>
  </si>
  <si>
    <t>2024-10-22</t>
  </si>
  <si>
    <t>Customer 147</t>
  </si>
  <si>
    <t>ORD0148</t>
  </si>
  <si>
    <t>2024-06-28</t>
  </si>
  <si>
    <t>Customer 148</t>
  </si>
  <si>
    <t>ORD0149</t>
  </si>
  <si>
    <t>Customer 149</t>
  </si>
  <si>
    <t>ORD0150</t>
  </si>
  <si>
    <t>Customer 150</t>
  </si>
  <si>
    <t>ORD0151</t>
  </si>
  <si>
    <t>Customer 151</t>
  </si>
  <si>
    <t>ORD0152</t>
  </si>
  <si>
    <t>2024-05-28</t>
  </si>
  <si>
    <t>Customer 152</t>
  </si>
  <si>
    <t>ORD0153</t>
  </si>
  <si>
    <t>2024-03-25</t>
  </si>
  <si>
    <t>Customer 153</t>
  </si>
  <si>
    <t>ORD0154</t>
  </si>
  <si>
    <t>Customer 154</t>
  </si>
  <si>
    <t>ORD0155</t>
  </si>
  <si>
    <t>2024-01-02</t>
  </si>
  <si>
    <t>Customer 155</t>
  </si>
  <si>
    <t>ORD0156</t>
  </si>
  <si>
    <t>Customer 156</t>
  </si>
  <si>
    <t>ORD0157</t>
  </si>
  <si>
    <t>Customer 157</t>
  </si>
  <si>
    <t>ORD0158</t>
  </si>
  <si>
    <t>Customer 158</t>
  </si>
  <si>
    <t>ORD0159</t>
  </si>
  <si>
    <t>2024-08-12</t>
  </si>
  <si>
    <t>Customer 159</t>
  </si>
  <si>
    <t>ORD0160</t>
  </si>
  <si>
    <t>2024-05-16</t>
  </si>
  <si>
    <t>Customer 160</t>
  </si>
  <si>
    <t>ORD0161</t>
  </si>
  <si>
    <t>Customer 161</t>
  </si>
  <si>
    <t>ORD0162</t>
  </si>
  <si>
    <t>2024-04-24</t>
  </si>
  <si>
    <t>Customer 162</t>
  </si>
  <si>
    <t>ORD0163</t>
  </si>
  <si>
    <t>2024-01-21</t>
  </si>
  <si>
    <t>Customer 163</t>
  </si>
  <si>
    <t>ORD0164</t>
  </si>
  <si>
    <t>Customer 164</t>
  </si>
  <si>
    <t>ORD0165</t>
  </si>
  <si>
    <t>2024-01-25</t>
  </si>
  <si>
    <t>Customer 165</t>
  </si>
  <si>
    <t>ORD0166</t>
  </si>
  <si>
    <t>Customer 166</t>
  </si>
  <si>
    <t>ORD0167</t>
  </si>
  <si>
    <t>2024-08-04</t>
  </si>
  <si>
    <t>Customer 167</t>
  </si>
  <si>
    <t>ORD0168</t>
  </si>
  <si>
    <t>Customer 168</t>
  </si>
  <si>
    <t>ORD0169</t>
  </si>
  <si>
    <t>2024-07-06</t>
  </si>
  <si>
    <t>Customer 169</t>
  </si>
  <si>
    <t>ORD0170</t>
  </si>
  <si>
    <t>2024-08-16</t>
  </si>
  <si>
    <t>Customer 170</t>
  </si>
  <si>
    <t>ORD0171</t>
  </si>
  <si>
    <t>Customer 171</t>
  </si>
  <si>
    <t>ORD0172</t>
  </si>
  <si>
    <t>Customer 172</t>
  </si>
  <si>
    <t>ORD0173</t>
  </si>
  <si>
    <t>2024-10-04</t>
  </si>
  <si>
    <t>Customer 173</t>
  </si>
  <si>
    <t>ORD0174</t>
  </si>
  <si>
    <t>Customer 174</t>
  </si>
  <si>
    <t>ORD0175</t>
  </si>
  <si>
    <t>Customer 175</t>
  </si>
  <si>
    <t>ORD0176</t>
  </si>
  <si>
    <t>2024-01-10</t>
  </si>
  <si>
    <t>Customer 176</t>
  </si>
  <si>
    <t>ORD0177</t>
  </si>
  <si>
    <t>Customer 177</t>
  </si>
  <si>
    <t>ORD0178</t>
  </si>
  <si>
    <t>2024-03-22</t>
  </si>
  <si>
    <t>Customer 178</t>
  </si>
  <si>
    <t>ORD0179</t>
  </si>
  <si>
    <t>Customer 179</t>
  </si>
  <si>
    <t>ORD0180</t>
  </si>
  <si>
    <t>2024-03-15</t>
  </si>
  <si>
    <t>Customer 180</t>
  </si>
  <si>
    <t>ORD0181</t>
  </si>
  <si>
    <t>Customer 181</t>
  </si>
  <si>
    <t>ORD0182</t>
  </si>
  <si>
    <t>2024-06-15</t>
  </si>
  <si>
    <t>Customer 182</t>
  </si>
  <si>
    <t>ORD0183</t>
  </si>
  <si>
    <t>2024-01-22</t>
  </si>
  <si>
    <t>Customer 183</t>
  </si>
  <si>
    <t>ORD0184</t>
  </si>
  <si>
    <t>Customer 184</t>
  </si>
  <si>
    <t>ORD0185</t>
  </si>
  <si>
    <t>Customer 185</t>
  </si>
  <si>
    <t>ORD0186</t>
  </si>
  <si>
    <t>Customer 186</t>
  </si>
  <si>
    <t>ORD0187</t>
  </si>
  <si>
    <t>Customer 187</t>
  </si>
  <si>
    <t>ORD0188</t>
  </si>
  <si>
    <t>2024-04-06</t>
  </si>
  <si>
    <t>Customer 188</t>
  </si>
  <si>
    <t>ORD0189</t>
  </si>
  <si>
    <t>Customer 189</t>
  </si>
  <si>
    <t>ORD0190</t>
  </si>
  <si>
    <t>Customer 190</t>
  </si>
  <si>
    <t>ORD0191</t>
  </si>
  <si>
    <t>2024-04-27</t>
  </si>
  <si>
    <t>Customer 191</t>
  </si>
  <si>
    <t>ORD0192</t>
  </si>
  <si>
    <t>Customer 192</t>
  </si>
  <si>
    <t>ORD0193</t>
  </si>
  <si>
    <t>2024-03-20</t>
  </si>
  <si>
    <t>Customer 193</t>
  </si>
  <si>
    <t>ORD0194</t>
  </si>
  <si>
    <t>Customer 194</t>
  </si>
  <si>
    <t>ORD0195</t>
  </si>
  <si>
    <t>Customer 195</t>
  </si>
  <si>
    <t>ORD0196</t>
  </si>
  <si>
    <t>Customer 196</t>
  </si>
  <si>
    <t>ORD0197</t>
  </si>
  <si>
    <t>2024-08-31</t>
  </si>
  <si>
    <t>Customer 197</t>
  </si>
  <si>
    <t>ORD0198</t>
  </si>
  <si>
    <t>Customer 198</t>
  </si>
  <si>
    <t>ORD0199</t>
  </si>
  <si>
    <t>Customer 199</t>
  </si>
  <si>
    <t>ORD0200</t>
  </si>
  <si>
    <t>Customer 200</t>
  </si>
  <si>
    <t>ORD0201</t>
  </si>
  <si>
    <t>Customer 201</t>
  </si>
  <si>
    <t>ORD0202</t>
  </si>
  <si>
    <t>2024-06-16</t>
  </si>
  <si>
    <t>Customer 202</t>
  </si>
  <si>
    <t>ORD0203</t>
  </si>
  <si>
    <t>2024-07-26</t>
  </si>
  <si>
    <t>Customer 203</t>
  </si>
  <si>
    <t>ORD0204</t>
  </si>
  <si>
    <t>2024-10-24</t>
  </si>
  <si>
    <t>Customer 204</t>
  </si>
  <si>
    <t>ORD0205</t>
  </si>
  <si>
    <t>Customer 205</t>
  </si>
  <si>
    <t>ORD0206</t>
  </si>
  <si>
    <t>2024-02-23</t>
  </si>
  <si>
    <t>Customer 206</t>
  </si>
  <si>
    <t>ORD0207</t>
  </si>
  <si>
    <t>Customer 207</t>
  </si>
  <si>
    <t>ORD0208</t>
  </si>
  <si>
    <t>2024-01-05</t>
  </si>
  <si>
    <t>Customer 208</t>
  </si>
  <si>
    <t>ORD0209</t>
  </si>
  <si>
    <t>Customer 209</t>
  </si>
  <si>
    <t>ORD0210</t>
  </si>
  <si>
    <t>2024-03-13</t>
  </si>
  <si>
    <t>Customer 210</t>
  </si>
  <si>
    <t>ORD0211</t>
  </si>
  <si>
    <t>Customer 211</t>
  </si>
  <si>
    <t>ORD0212</t>
  </si>
  <si>
    <t>Customer 212</t>
  </si>
  <si>
    <t>ORD0213</t>
  </si>
  <si>
    <t>Customer 213</t>
  </si>
  <si>
    <t>ORD0214</t>
  </si>
  <si>
    <t>Customer 214</t>
  </si>
  <si>
    <t>ORD0215</t>
  </si>
  <si>
    <t>Customer 215</t>
  </si>
  <si>
    <t>ORD0216</t>
  </si>
  <si>
    <t>Customer 216</t>
  </si>
  <si>
    <t>ORD0217</t>
  </si>
  <si>
    <t>Customer 217</t>
  </si>
  <si>
    <t>ORD0218</t>
  </si>
  <si>
    <t>2024-05-09</t>
  </si>
  <si>
    <t>Customer 218</t>
  </si>
  <si>
    <t>ORD0219</t>
  </si>
  <si>
    <t>Customer 219</t>
  </si>
  <si>
    <t>ORD0220</t>
  </si>
  <si>
    <t>2024-06-27</t>
  </si>
  <si>
    <t>Customer 220</t>
  </si>
  <si>
    <t>ORD0221</t>
  </si>
  <si>
    <t>Customer 221</t>
  </si>
  <si>
    <t>ORD0222</t>
  </si>
  <si>
    <t>Customer 222</t>
  </si>
  <si>
    <t>ORD0223</t>
  </si>
  <si>
    <t>2024-07-01</t>
  </si>
  <si>
    <t>Customer 223</t>
  </si>
  <si>
    <t>ORD0224</t>
  </si>
  <si>
    <t>2024-04-13</t>
  </si>
  <si>
    <t>Customer 224</t>
  </si>
  <si>
    <t>ORD0225</t>
  </si>
  <si>
    <t>Customer 225</t>
  </si>
  <si>
    <t>ORD0226</t>
  </si>
  <si>
    <t>Customer 226</t>
  </si>
  <si>
    <t>ORD0227</t>
  </si>
  <si>
    <t>Customer 227</t>
  </si>
  <si>
    <t>ORD0228</t>
  </si>
  <si>
    <t>Customer 228</t>
  </si>
  <si>
    <t>ORD0229</t>
  </si>
  <si>
    <t>2024-05-26</t>
  </si>
  <si>
    <t>Customer 229</t>
  </si>
  <si>
    <t>ORD0230</t>
  </si>
  <si>
    <t>2024-03-31</t>
  </si>
  <si>
    <t>Customer 230</t>
  </si>
  <si>
    <t>ORD0231</t>
  </si>
  <si>
    <t>2024-09-25</t>
  </si>
  <si>
    <t>Customer 231</t>
  </si>
  <si>
    <t>ORD0232</t>
  </si>
  <si>
    <t>Customer 232</t>
  </si>
  <si>
    <t>ORD0233</t>
  </si>
  <si>
    <t>2024-04-29</t>
  </si>
  <si>
    <t>Customer 233</t>
  </si>
  <si>
    <t>ORD0234</t>
  </si>
  <si>
    <t>2024-08-05</t>
  </si>
  <si>
    <t>Customer 234</t>
  </si>
  <si>
    <t>ORD0235</t>
  </si>
  <si>
    <t>Customer 235</t>
  </si>
  <si>
    <t>ORD0236</t>
  </si>
  <si>
    <t>Customer 236</t>
  </si>
  <si>
    <t>ORD0237</t>
  </si>
  <si>
    <t>2024-06-08</t>
  </si>
  <si>
    <t>Customer 237</t>
  </si>
  <si>
    <t>ORD0238</t>
  </si>
  <si>
    <t>2024-05-25</t>
  </si>
  <si>
    <t>Customer 238</t>
  </si>
  <si>
    <t>ORD0239</t>
  </si>
  <si>
    <t>Customer 239</t>
  </si>
  <si>
    <t>ORD0240</t>
  </si>
  <si>
    <t>Customer 240</t>
  </si>
  <si>
    <t>ORD0241</t>
  </si>
  <si>
    <t>Customer 241</t>
  </si>
  <si>
    <t>ORD0242</t>
  </si>
  <si>
    <t>2024-01-03</t>
  </si>
  <si>
    <t>Customer 242</t>
  </si>
  <si>
    <t>ORD0243</t>
  </si>
  <si>
    <t>2024-07-27</t>
  </si>
  <si>
    <t>Customer 243</t>
  </si>
  <si>
    <t>ORD0244</t>
  </si>
  <si>
    <t>2024-05-31</t>
  </si>
  <si>
    <t>Customer 244</t>
  </si>
  <si>
    <t>ORD0245</t>
  </si>
  <si>
    <t>Customer 245</t>
  </si>
  <si>
    <t>ORD0246</t>
  </si>
  <si>
    <t>Customer 246</t>
  </si>
  <si>
    <t>ORD0247</t>
  </si>
  <si>
    <t>2024-09-05</t>
  </si>
  <si>
    <t>Customer 247</t>
  </si>
  <si>
    <t>ORD0248</t>
  </si>
  <si>
    <t>2024-08-03</t>
  </si>
  <si>
    <t>Customer 248</t>
  </si>
  <si>
    <t>ORD0249</t>
  </si>
  <si>
    <t>Customer 249</t>
  </si>
  <si>
    <t>ORD0250</t>
  </si>
  <si>
    <t>Customer 250</t>
  </si>
  <si>
    <t>ORD0251</t>
  </si>
  <si>
    <t>2024-08-01</t>
  </si>
  <si>
    <t>Customer 251</t>
  </si>
  <si>
    <t>ORD0252</t>
  </si>
  <si>
    <t>2024-09-14</t>
  </si>
  <si>
    <t>Customer 252</t>
  </si>
  <si>
    <t>ORD0253</t>
  </si>
  <si>
    <t>2024-04-12</t>
  </si>
  <si>
    <t>Customer 253</t>
  </si>
  <si>
    <t>ORD0254</t>
  </si>
  <si>
    <t>2024-10-27</t>
  </si>
  <si>
    <t>Customer 254</t>
  </si>
  <si>
    <t>ORD0255</t>
  </si>
  <si>
    <t>2024-06-26</t>
  </si>
  <si>
    <t>Customer 255</t>
  </si>
  <si>
    <t>ORD0256</t>
  </si>
  <si>
    <t>Customer 256</t>
  </si>
  <si>
    <t>ORD0257</t>
  </si>
  <si>
    <t>Customer 257</t>
  </si>
  <si>
    <t>ORD0258</t>
  </si>
  <si>
    <t>Customer 258</t>
  </si>
  <si>
    <t>ORD0259</t>
  </si>
  <si>
    <t>2024-01-11</t>
  </si>
  <si>
    <t>Customer 259</t>
  </si>
  <si>
    <t>ORD0260</t>
  </si>
  <si>
    <t>Customer 260</t>
  </si>
  <si>
    <t>ORD0261</t>
  </si>
  <si>
    <t>2024-10-01</t>
  </si>
  <si>
    <t>Customer 261</t>
  </si>
  <si>
    <t>ORD0262</t>
  </si>
  <si>
    <t>Customer 262</t>
  </si>
  <si>
    <t>ORD0263</t>
  </si>
  <si>
    <t>Customer 263</t>
  </si>
  <si>
    <t>ORD0264</t>
  </si>
  <si>
    <t>2024-03-02</t>
  </si>
  <si>
    <t>Customer 264</t>
  </si>
  <si>
    <t>ORD0265</t>
  </si>
  <si>
    <t>2024-08-24</t>
  </si>
  <si>
    <t>Customer 265</t>
  </si>
  <si>
    <t>ORD0266</t>
  </si>
  <si>
    <t>2024-09-01</t>
  </si>
  <si>
    <t>Customer 266</t>
  </si>
  <si>
    <t>ORD0267</t>
  </si>
  <si>
    <t>2024-10-09</t>
  </si>
  <si>
    <t>Customer 267</t>
  </si>
  <si>
    <t>ORD0268</t>
  </si>
  <si>
    <t>2024-08-09</t>
  </si>
  <si>
    <t>Customer 268</t>
  </si>
  <si>
    <t>ORD0269</t>
  </si>
  <si>
    <t>2024-09-02</t>
  </si>
  <si>
    <t>Customer 269</t>
  </si>
  <si>
    <t>ORD0270</t>
  </si>
  <si>
    <t>Customer 270</t>
  </si>
  <si>
    <t>ORD0271</t>
  </si>
  <si>
    <t>Customer 271</t>
  </si>
  <si>
    <t>ORD0272</t>
  </si>
  <si>
    <t>2024-09-30</t>
  </si>
  <si>
    <t>Customer 272</t>
  </si>
  <si>
    <t>ORD0273</t>
  </si>
  <si>
    <t>Customer 273</t>
  </si>
  <si>
    <t>ORD0274</t>
  </si>
  <si>
    <t>2024-07-09</t>
  </si>
  <si>
    <t>Customer 274</t>
  </si>
  <si>
    <t>ORD0275</t>
  </si>
  <si>
    <t>2024-09-09</t>
  </si>
  <si>
    <t>Customer 275</t>
  </si>
  <si>
    <t>ORD0276</t>
  </si>
  <si>
    <t>Customer 276</t>
  </si>
  <si>
    <t>ORD0277</t>
  </si>
  <si>
    <t>2024-05-08</t>
  </si>
  <si>
    <t>Customer 277</t>
  </si>
  <si>
    <t>ORD0278</t>
  </si>
  <si>
    <t>2024-03-21</t>
  </si>
  <si>
    <t>Customer 278</t>
  </si>
  <si>
    <t>ORD0279</t>
  </si>
  <si>
    <t>Customer 279</t>
  </si>
  <si>
    <t>ORD0280</t>
  </si>
  <si>
    <t>Customer 280</t>
  </si>
  <si>
    <t>ORD0281</t>
  </si>
  <si>
    <t>Customer 281</t>
  </si>
  <si>
    <t>ORD0282</t>
  </si>
  <si>
    <t>Customer 282</t>
  </si>
  <si>
    <t>ORD0283</t>
  </si>
  <si>
    <t>Customer 283</t>
  </si>
  <si>
    <t>ORD0284</t>
  </si>
  <si>
    <t>Customer 284</t>
  </si>
  <si>
    <t>ORD0285</t>
  </si>
  <si>
    <t>Customer 285</t>
  </si>
  <si>
    <t>ORD0286</t>
  </si>
  <si>
    <t>Customer 286</t>
  </si>
  <si>
    <t>ORD0287</t>
  </si>
  <si>
    <t>Customer 287</t>
  </si>
  <si>
    <t>ORD0288</t>
  </si>
  <si>
    <t>Customer 288</t>
  </si>
  <si>
    <t>ORD0289</t>
  </si>
  <si>
    <t>Customer 289</t>
  </si>
  <si>
    <t>ORD0290</t>
  </si>
  <si>
    <t>2024-07-20</t>
  </si>
  <si>
    <t>Customer 290</t>
  </si>
  <si>
    <t>ORD0291</t>
  </si>
  <si>
    <t>Customer 291</t>
  </si>
  <si>
    <t>ORD0292</t>
  </si>
  <si>
    <t>2024-09-10</t>
  </si>
  <si>
    <t>Customer 292</t>
  </si>
  <si>
    <t>ORD0293</t>
  </si>
  <si>
    <t>2024-07-11</t>
  </si>
  <si>
    <t>Customer 293</t>
  </si>
  <si>
    <t>ORD0294</t>
  </si>
  <si>
    <t>Customer 294</t>
  </si>
  <si>
    <t>ORD0295</t>
  </si>
  <si>
    <t>Customer 295</t>
  </si>
  <si>
    <t>ORD0296</t>
  </si>
  <si>
    <t>Customer 296</t>
  </si>
  <si>
    <t>ORD0297</t>
  </si>
  <si>
    <t>Customer 297</t>
  </si>
  <si>
    <t>ORD0298</t>
  </si>
  <si>
    <t>Customer 298</t>
  </si>
  <si>
    <t>ORD0299</t>
  </si>
  <si>
    <t>Customer 299</t>
  </si>
  <si>
    <t>ORD0300</t>
  </si>
  <si>
    <t>2024-03-01</t>
  </si>
  <si>
    <t>Customer 300</t>
  </si>
  <si>
    <t>ORD0301</t>
  </si>
  <si>
    <t>2024-04-02</t>
  </si>
  <si>
    <t>Customer 301</t>
  </si>
  <si>
    <t>ORD0302</t>
  </si>
  <si>
    <t>2024-10-12</t>
  </si>
  <si>
    <t>Customer 302</t>
  </si>
  <si>
    <t>ORD0303</t>
  </si>
  <si>
    <t>Customer 303</t>
  </si>
  <si>
    <t>ORD0304</t>
  </si>
  <si>
    <t>Customer 304</t>
  </si>
  <si>
    <t>ORD0305</t>
  </si>
  <si>
    <t>2024-09-26</t>
  </si>
  <si>
    <t>Customer 305</t>
  </si>
  <si>
    <t>ORD0306</t>
  </si>
  <si>
    <t>Customer 306</t>
  </si>
  <si>
    <t>ORD0307</t>
  </si>
  <si>
    <t>Customer 307</t>
  </si>
  <si>
    <t>ORD0308</t>
  </si>
  <si>
    <t>2024-04-18</t>
  </si>
  <si>
    <t>Customer 308</t>
  </si>
  <si>
    <t>ORD0309</t>
  </si>
  <si>
    <t>Customer 309</t>
  </si>
  <si>
    <t>ORD0310</t>
  </si>
  <si>
    <t>Customer 310</t>
  </si>
  <si>
    <t>ORD0311</t>
  </si>
  <si>
    <t>Customer 311</t>
  </si>
  <si>
    <t>ORD0312</t>
  </si>
  <si>
    <t>2024-02-16</t>
  </si>
  <si>
    <t>Customer 312</t>
  </si>
  <si>
    <t>ORD0313</t>
  </si>
  <si>
    <t>2024-03-27</t>
  </si>
  <si>
    <t>Customer 313</t>
  </si>
  <si>
    <t>ORD0314</t>
  </si>
  <si>
    <t>Customer 314</t>
  </si>
  <si>
    <t>ORD0315</t>
  </si>
  <si>
    <t>Customer 315</t>
  </si>
  <si>
    <t>ORD0316</t>
  </si>
  <si>
    <t>Customer 316</t>
  </si>
  <si>
    <t>ORD0317</t>
  </si>
  <si>
    <t>Customer 317</t>
  </si>
  <si>
    <t>ORD0318</t>
  </si>
  <si>
    <t>Customer 318</t>
  </si>
  <si>
    <t>ORD0319</t>
  </si>
  <si>
    <t>Customer 319</t>
  </si>
  <si>
    <t>ORD0320</t>
  </si>
  <si>
    <t>Customer 320</t>
  </si>
  <si>
    <t>ORD0321</t>
  </si>
  <si>
    <t>Customer 321</t>
  </si>
  <si>
    <t>ORD0322</t>
  </si>
  <si>
    <t>Customer 322</t>
  </si>
  <si>
    <t>ORD0323</t>
  </si>
  <si>
    <t>2024-06-22</t>
  </si>
  <si>
    <t>Customer 323</t>
  </si>
  <si>
    <t>ORD0324</t>
  </si>
  <si>
    <t>2024-09-17</t>
  </si>
  <si>
    <t>Customer 324</t>
  </si>
  <si>
    <t>ORD0325</t>
  </si>
  <si>
    <t>2024-03-04</t>
  </si>
  <si>
    <t>Customer 325</t>
  </si>
  <si>
    <t>ORD0326</t>
  </si>
  <si>
    <t>Customer 326</t>
  </si>
  <si>
    <t>ORD0327</t>
  </si>
  <si>
    <t>Customer 327</t>
  </si>
  <si>
    <t>ORD0328</t>
  </si>
  <si>
    <t>Customer 328</t>
  </si>
  <si>
    <t>ORD0329</t>
  </si>
  <si>
    <t>Customer 329</t>
  </si>
  <si>
    <t>ORD0330</t>
  </si>
  <si>
    <t>Customer 330</t>
  </si>
  <si>
    <t>ORD0331</t>
  </si>
  <si>
    <t>2024-01-08</t>
  </si>
  <si>
    <t>Customer 331</t>
  </si>
  <si>
    <t>ORD0332</t>
  </si>
  <si>
    <t>Customer 332</t>
  </si>
  <si>
    <t>ORD0333</t>
  </si>
  <si>
    <t>Customer 333</t>
  </si>
  <si>
    <t>ORD0334</t>
  </si>
  <si>
    <t>2024-04-07</t>
  </si>
  <si>
    <t>Customer 334</t>
  </si>
  <si>
    <t>ORD0335</t>
  </si>
  <si>
    <t>Customer 335</t>
  </si>
  <si>
    <t>ORD0336</t>
  </si>
  <si>
    <t>Customer 336</t>
  </si>
  <si>
    <t>ORD0337</t>
  </si>
  <si>
    <t>2024-06-06</t>
  </si>
  <si>
    <t>Customer 337</t>
  </si>
  <si>
    <t>ORD0338</t>
  </si>
  <si>
    <t>Customer 338</t>
  </si>
  <si>
    <t>ORD0339</t>
  </si>
  <si>
    <t>Customer 339</t>
  </si>
  <si>
    <t>ORD0340</t>
  </si>
  <si>
    <t>Customer 340</t>
  </si>
  <si>
    <t>ORD0341</t>
  </si>
  <si>
    <t>2024-05-30</t>
  </si>
  <si>
    <t>Customer 341</t>
  </si>
  <si>
    <t>ORD0342</t>
  </si>
  <si>
    <t>Customer 342</t>
  </si>
  <si>
    <t>ORD0343</t>
  </si>
  <si>
    <t>Customer 343</t>
  </si>
  <si>
    <t>ORD0344</t>
  </si>
  <si>
    <t>Customer 344</t>
  </si>
  <si>
    <t>ORD0345</t>
  </si>
  <si>
    <t>2024-03-10</t>
  </si>
  <si>
    <t>Customer 345</t>
  </si>
  <si>
    <t>ORD0346</t>
  </si>
  <si>
    <t>Customer 346</t>
  </si>
  <si>
    <t>ORD0347</t>
  </si>
  <si>
    <t>Customer 347</t>
  </si>
  <si>
    <t>ORD0348</t>
  </si>
  <si>
    <t>Customer 348</t>
  </si>
  <si>
    <t>ORD0349</t>
  </si>
  <si>
    <t>Customer 349</t>
  </si>
  <si>
    <t>ORD0350</t>
  </si>
  <si>
    <t>2024-03-29</t>
  </si>
  <si>
    <t>Customer 350</t>
  </si>
  <si>
    <t>ORD0351</t>
  </si>
  <si>
    <t>Customer 351</t>
  </si>
  <si>
    <t>ORD0352</t>
  </si>
  <si>
    <t>Customer 352</t>
  </si>
  <si>
    <t>ORD0353</t>
  </si>
  <si>
    <t>2024-03-24</t>
  </si>
  <si>
    <t>Customer 353</t>
  </si>
  <si>
    <t>ORD0354</t>
  </si>
  <si>
    <t>2024-06-07</t>
  </si>
  <si>
    <t>Customer 354</t>
  </si>
  <si>
    <t>ORD0355</t>
  </si>
  <si>
    <t>Customer 355</t>
  </si>
  <si>
    <t>ORD0356</t>
  </si>
  <si>
    <t>Customer 356</t>
  </si>
  <si>
    <t>ORD0357</t>
  </si>
  <si>
    <t>Customer 357</t>
  </si>
  <si>
    <t>ORD0358</t>
  </si>
  <si>
    <t>Customer 358</t>
  </si>
  <si>
    <t>ORD0359</t>
  </si>
  <si>
    <t>Customer 359</t>
  </si>
  <si>
    <t>ORD0360</t>
  </si>
  <si>
    <t>2024-01-04</t>
  </si>
  <si>
    <t>Customer 360</t>
  </si>
  <si>
    <t>ORD0361</t>
  </si>
  <si>
    <t>Customer 361</t>
  </si>
  <si>
    <t>ORD0362</t>
  </si>
  <si>
    <t>2024-10-07</t>
  </si>
  <si>
    <t>Customer 362</t>
  </si>
  <si>
    <t>ORD0363</t>
  </si>
  <si>
    <t>2024-07-12</t>
  </si>
  <si>
    <t>Customer 363</t>
  </si>
  <si>
    <t>ORD0364</t>
  </si>
  <si>
    <t>Customer 364</t>
  </si>
  <si>
    <t>ORD0365</t>
  </si>
  <si>
    <t>2024-08-02</t>
  </si>
  <si>
    <t>Customer 365</t>
  </si>
  <si>
    <t>ORD0366</t>
  </si>
  <si>
    <t>2024-06-13</t>
  </si>
  <si>
    <t>Customer 366</t>
  </si>
  <si>
    <t>ORD0367</t>
  </si>
  <si>
    <t>Customer 367</t>
  </si>
  <si>
    <t>ORD0368</t>
  </si>
  <si>
    <t>2024-05-02</t>
  </si>
  <si>
    <t>Customer 368</t>
  </si>
  <si>
    <t>ORD0369</t>
  </si>
  <si>
    <t>2024-10-15</t>
  </si>
  <si>
    <t>Customer 369</t>
  </si>
  <si>
    <t>ORD0370</t>
  </si>
  <si>
    <t>2024-04-28</t>
  </si>
  <si>
    <t>Customer 370</t>
  </si>
  <si>
    <t>ORD0371</t>
  </si>
  <si>
    <t>Customer 371</t>
  </si>
  <si>
    <t>ORD0372</t>
  </si>
  <si>
    <t>Customer 372</t>
  </si>
  <si>
    <t>ORD0373</t>
  </si>
  <si>
    <t>2024-01-16</t>
  </si>
  <si>
    <t>Customer 373</t>
  </si>
  <si>
    <t>ORD0374</t>
  </si>
  <si>
    <t>Customer 374</t>
  </si>
  <si>
    <t>ORD0375</t>
  </si>
  <si>
    <t>2024-03-05</t>
  </si>
  <si>
    <t>Customer 375</t>
  </si>
  <si>
    <t>ORD0376</t>
  </si>
  <si>
    <t>Customer 376</t>
  </si>
  <si>
    <t>ORD0377</t>
  </si>
  <si>
    <t>Customer 377</t>
  </si>
  <si>
    <t>ORD0378</t>
  </si>
  <si>
    <t>Customer 378</t>
  </si>
  <si>
    <t>ORD0379</t>
  </si>
  <si>
    <t>2024-08-14</t>
  </si>
  <si>
    <t>Customer 379</t>
  </si>
  <si>
    <t>ORD0380</t>
  </si>
  <si>
    <t>Customer 380</t>
  </si>
  <si>
    <t>ORD0381</t>
  </si>
  <si>
    <t>2024-09-24</t>
  </si>
  <si>
    <t>Customer 381</t>
  </si>
  <si>
    <t>ORD0382</t>
  </si>
  <si>
    <t>Customer 382</t>
  </si>
  <si>
    <t>ORD0383</t>
  </si>
  <si>
    <t>Customer 383</t>
  </si>
  <si>
    <t>ORD0384</t>
  </si>
  <si>
    <t>Customer 384</t>
  </si>
  <si>
    <t>ORD0385</t>
  </si>
  <si>
    <t>Customer 385</t>
  </si>
  <si>
    <t>ORD0386</t>
  </si>
  <si>
    <t>2024-06-03</t>
  </si>
  <si>
    <t>Customer 386</t>
  </si>
  <si>
    <t>ORD0387</t>
  </si>
  <si>
    <t>2024-05-27</t>
  </si>
  <si>
    <t>Customer 387</t>
  </si>
  <si>
    <t>ORD0388</t>
  </si>
  <si>
    <t>Customer 388</t>
  </si>
  <si>
    <t>ORD0389</t>
  </si>
  <si>
    <t>Customer 389</t>
  </si>
  <si>
    <t>ORD0390</t>
  </si>
  <si>
    <t>Customer 390</t>
  </si>
  <si>
    <t>ORD0391</t>
  </si>
  <si>
    <t>Customer 391</t>
  </si>
  <si>
    <t>ORD0392</t>
  </si>
  <si>
    <t>2024-02-14</t>
  </si>
  <si>
    <t>Customer 392</t>
  </si>
  <si>
    <t>ORD0393</t>
  </si>
  <si>
    <t>Customer 393</t>
  </si>
  <si>
    <t>ORD0394</t>
  </si>
  <si>
    <t>2024-04-10</t>
  </si>
  <si>
    <t>Customer 394</t>
  </si>
  <si>
    <t>ORD0395</t>
  </si>
  <si>
    <t>Customer 395</t>
  </si>
  <si>
    <t>ORD0396</t>
  </si>
  <si>
    <t>Customer 396</t>
  </si>
  <si>
    <t>ORD0397</t>
  </si>
  <si>
    <t>Customer 397</t>
  </si>
  <si>
    <t>ORD0398</t>
  </si>
  <si>
    <t>Customer 398</t>
  </si>
  <si>
    <t>ORD0399</t>
  </si>
  <si>
    <t>Customer 399</t>
  </si>
  <si>
    <t>ORD0400</t>
  </si>
  <si>
    <t>Customer 400</t>
  </si>
  <si>
    <t>ORD0401</t>
  </si>
  <si>
    <t>Customer 401</t>
  </si>
  <si>
    <t>ORD0402</t>
  </si>
  <si>
    <t>2024-07-29</t>
  </si>
  <si>
    <t>Customer 402</t>
  </si>
  <si>
    <t>ORD0403</t>
  </si>
  <si>
    <t>Customer 403</t>
  </si>
  <si>
    <t>ORD0404</t>
  </si>
  <si>
    <t>2024-04-21</t>
  </si>
  <si>
    <t>Customer 404</t>
  </si>
  <si>
    <t>ORD0405</t>
  </si>
  <si>
    <t>Customer 405</t>
  </si>
  <si>
    <t>ORD0406</t>
  </si>
  <si>
    <t>Customer 406</t>
  </si>
  <si>
    <t>ORD0407</t>
  </si>
  <si>
    <t>Customer 407</t>
  </si>
  <si>
    <t>ORD0408</t>
  </si>
  <si>
    <t>Customer 408</t>
  </si>
  <si>
    <t>ORD0409</t>
  </si>
  <si>
    <t>Customer 409</t>
  </si>
  <si>
    <t>ORD0410</t>
  </si>
  <si>
    <t>Customer 410</t>
  </si>
  <si>
    <t>ORD0411</t>
  </si>
  <si>
    <t>Customer 411</t>
  </si>
  <si>
    <t>ORD0412</t>
  </si>
  <si>
    <t>Customer 412</t>
  </si>
  <si>
    <t>ORD0413</t>
  </si>
  <si>
    <t>Customer 413</t>
  </si>
  <si>
    <t>ORD0414</t>
  </si>
  <si>
    <t>Customer 414</t>
  </si>
  <si>
    <t>ORD0415</t>
  </si>
  <si>
    <t>Customer 415</t>
  </si>
  <si>
    <t>ORD0416</t>
  </si>
  <si>
    <t>2024-02-10</t>
  </si>
  <si>
    <t>Customer 416</t>
  </si>
  <si>
    <t>ORD0417</t>
  </si>
  <si>
    <t>Customer 417</t>
  </si>
  <si>
    <t>ORD0418</t>
  </si>
  <si>
    <t>Customer 418</t>
  </si>
  <si>
    <t>ORD0419</t>
  </si>
  <si>
    <t>Customer 419</t>
  </si>
  <si>
    <t>ORD0420</t>
  </si>
  <si>
    <t>Customer 420</t>
  </si>
  <si>
    <t>ORD0421</t>
  </si>
  <si>
    <t>Customer 421</t>
  </si>
  <si>
    <t>ORD0422</t>
  </si>
  <si>
    <t>Customer 422</t>
  </si>
  <si>
    <t>ORD0423</t>
  </si>
  <si>
    <t>Customer 423</t>
  </si>
  <si>
    <t>ORD0424</t>
  </si>
  <si>
    <t>Customer 424</t>
  </si>
  <si>
    <t>ORD0425</t>
  </si>
  <si>
    <t>Customer 425</t>
  </si>
  <si>
    <t>ORD0426</t>
  </si>
  <si>
    <t>Customer 426</t>
  </si>
  <si>
    <t>ORD0427</t>
  </si>
  <si>
    <t>Customer 427</t>
  </si>
  <si>
    <t>ORD0428</t>
  </si>
  <si>
    <t>Customer 428</t>
  </si>
  <si>
    <t>ORD0429</t>
  </si>
  <si>
    <t>Customer 429</t>
  </si>
  <si>
    <t>ORD0430</t>
  </si>
  <si>
    <t>Customer 430</t>
  </si>
  <si>
    <t>ORD0431</t>
  </si>
  <si>
    <t>Customer 431</t>
  </si>
  <si>
    <t>ORD0432</t>
  </si>
  <si>
    <t>2024-03-23</t>
  </si>
  <si>
    <t>Customer 432</t>
  </si>
  <si>
    <t>ORD0433</t>
  </si>
  <si>
    <t>Customer 433</t>
  </si>
  <si>
    <t>ORD0434</t>
  </si>
  <si>
    <t>Customer 434</t>
  </si>
  <si>
    <t>ORD0435</t>
  </si>
  <si>
    <t>Customer 435</t>
  </si>
  <si>
    <t>ORD0436</t>
  </si>
  <si>
    <t>2024-09-28</t>
  </si>
  <si>
    <t>Customer 436</t>
  </si>
  <si>
    <t>ORD0437</t>
  </si>
  <si>
    <t>Customer 437</t>
  </si>
  <si>
    <t>ORD0438</t>
  </si>
  <si>
    <t>Customer 438</t>
  </si>
  <si>
    <t>ORD0439</t>
  </si>
  <si>
    <t>Customer 439</t>
  </si>
  <si>
    <t>ORD0440</t>
  </si>
  <si>
    <t>2024-10-11</t>
  </si>
  <si>
    <t>Customer 440</t>
  </si>
  <si>
    <t>ORD0441</t>
  </si>
  <si>
    <t>Customer 441</t>
  </si>
  <si>
    <t>ORD0442</t>
  </si>
  <si>
    <t>Customer 442</t>
  </si>
  <si>
    <t>ORD0443</t>
  </si>
  <si>
    <t>2024-10-10</t>
  </si>
  <si>
    <t>Customer 443</t>
  </si>
  <si>
    <t>ORD0444</t>
  </si>
  <si>
    <t>Customer 444</t>
  </si>
  <si>
    <t>ORD0445</t>
  </si>
  <si>
    <t>2024-02-22</t>
  </si>
  <si>
    <t>Customer 445</t>
  </si>
  <si>
    <t>ORD0446</t>
  </si>
  <si>
    <t>Customer 446</t>
  </si>
  <si>
    <t>ORD0447</t>
  </si>
  <si>
    <t>Customer 447</t>
  </si>
  <si>
    <t>ORD0448</t>
  </si>
  <si>
    <t>Customer 448</t>
  </si>
  <si>
    <t>ORD0449</t>
  </si>
  <si>
    <t>Customer 449</t>
  </si>
  <si>
    <t>ORD0450</t>
  </si>
  <si>
    <t>Customer 450</t>
  </si>
  <si>
    <t>ORD0451</t>
  </si>
  <si>
    <t>Customer 451</t>
  </si>
  <si>
    <t>ORD0452</t>
  </si>
  <si>
    <t>Customer 452</t>
  </si>
  <si>
    <t>ORD0453</t>
  </si>
  <si>
    <t>Customer 453</t>
  </si>
  <si>
    <t>ORD0454</t>
  </si>
  <si>
    <t>Customer 454</t>
  </si>
  <si>
    <t>ORD0455</t>
  </si>
  <si>
    <t>Customer 455</t>
  </si>
  <si>
    <t>ORD0456</t>
  </si>
  <si>
    <t>Customer 456</t>
  </si>
  <si>
    <t>ORD0457</t>
  </si>
  <si>
    <t>Customer 457</t>
  </si>
  <si>
    <t>ORD0458</t>
  </si>
  <si>
    <t>Customer 458</t>
  </si>
  <si>
    <t>ORD0459</t>
  </si>
  <si>
    <t>2024-05-22</t>
  </si>
  <si>
    <t>Customer 459</t>
  </si>
  <si>
    <t>ORD0460</t>
  </si>
  <si>
    <t>Customer 460</t>
  </si>
  <si>
    <t>ORD0461</t>
  </si>
  <si>
    <t>Customer 461</t>
  </si>
  <si>
    <t>ORD0462</t>
  </si>
  <si>
    <t>2024-02-13</t>
  </si>
  <si>
    <t>Customer 462</t>
  </si>
  <si>
    <t>ORD0463</t>
  </si>
  <si>
    <t>Customer 463</t>
  </si>
  <si>
    <t>ORD0464</t>
  </si>
  <si>
    <t>Customer 464</t>
  </si>
  <si>
    <t>ORD0465</t>
  </si>
  <si>
    <t>Customer 465</t>
  </si>
  <si>
    <t>ORD0466</t>
  </si>
  <si>
    <t>Customer 466</t>
  </si>
  <si>
    <t>ORD0467</t>
  </si>
  <si>
    <t>Customer 467</t>
  </si>
  <si>
    <t>ORD0468</t>
  </si>
  <si>
    <t>Customer 468</t>
  </si>
  <si>
    <t>ORD0469</t>
  </si>
  <si>
    <t>Customer 469</t>
  </si>
  <si>
    <t>ORD0470</t>
  </si>
  <si>
    <t>Customer 470</t>
  </si>
  <si>
    <t>ORD0471</t>
  </si>
  <si>
    <t>Customer 471</t>
  </si>
  <si>
    <t>ORD0472</t>
  </si>
  <si>
    <t>Customer 472</t>
  </si>
  <si>
    <t>ORD0473</t>
  </si>
  <si>
    <t>2024-09-07</t>
  </si>
  <si>
    <t>Customer 473</t>
  </si>
  <si>
    <t>ORD0474</t>
  </si>
  <si>
    <t>Customer 474</t>
  </si>
  <si>
    <t>ORD0475</t>
  </si>
  <si>
    <t>2024-06-24</t>
  </si>
  <si>
    <t>Customer 475</t>
  </si>
  <si>
    <t>ORD0476</t>
  </si>
  <si>
    <t>Customer 476</t>
  </si>
  <si>
    <t>ORD0477</t>
  </si>
  <si>
    <t>Customer 477</t>
  </si>
  <si>
    <t>ORD0478</t>
  </si>
  <si>
    <t>2024-09-19</t>
  </si>
  <si>
    <t>Customer 478</t>
  </si>
  <si>
    <t>ORD0479</t>
  </si>
  <si>
    <t>Customer 479</t>
  </si>
  <si>
    <t>ORD0480</t>
  </si>
  <si>
    <t>Customer 480</t>
  </si>
  <si>
    <t>ORD0481</t>
  </si>
  <si>
    <t>2024-08-10</t>
  </si>
  <si>
    <t>Customer 481</t>
  </si>
  <si>
    <t>ORD0482</t>
  </si>
  <si>
    <t>Customer 482</t>
  </si>
  <si>
    <t>ORD0483</t>
  </si>
  <si>
    <t>Customer 483</t>
  </si>
  <si>
    <t>ORD0484</t>
  </si>
  <si>
    <t>Customer 484</t>
  </si>
  <si>
    <t>ORD0485</t>
  </si>
  <si>
    <t>Customer 485</t>
  </si>
  <si>
    <t>ORD0486</t>
  </si>
  <si>
    <t>2024-09-16</t>
  </si>
  <si>
    <t>Customer 486</t>
  </si>
  <si>
    <t>ORD0487</t>
  </si>
  <si>
    <t>2024-04-23</t>
  </si>
  <si>
    <t>Customer 487</t>
  </si>
  <si>
    <t>ORD0488</t>
  </si>
  <si>
    <t>Customer 488</t>
  </si>
  <si>
    <t>ORD0489</t>
  </si>
  <si>
    <t>Customer 489</t>
  </si>
  <si>
    <t>ORD0490</t>
  </si>
  <si>
    <t>Customer 490</t>
  </si>
  <si>
    <t>ORD0491</t>
  </si>
  <si>
    <t>Customer 491</t>
  </si>
  <si>
    <t>ORD0492</t>
  </si>
  <si>
    <t>Customer 492</t>
  </si>
  <si>
    <t>ORD0493</t>
  </si>
  <si>
    <t>Customer 493</t>
  </si>
  <si>
    <t>ORD0494</t>
  </si>
  <si>
    <t>Customer 494</t>
  </si>
  <si>
    <t>ORD0495</t>
  </si>
  <si>
    <t>Customer 495</t>
  </si>
  <si>
    <t>ORD0496</t>
  </si>
  <si>
    <t>Customer 496</t>
  </si>
  <si>
    <t>ORD0497</t>
  </si>
  <si>
    <t>Customer 497</t>
  </si>
  <si>
    <t>ORD0498</t>
  </si>
  <si>
    <t>Customer 498</t>
  </si>
  <si>
    <t>ORD0499</t>
  </si>
  <si>
    <t>Customer 499</t>
  </si>
  <si>
    <t>ORD0500</t>
  </si>
  <si>
    <t>Customer 500</t>
  </si>
  <si>
    <t>Vlookup</t>
  </si>
  <si>
    <t>Q1. Find the Unit Price of the product in Order ID = “ORD0025”.</t>
  </si>
  <si>
    <t>Q2. Retrieve the Customer Name for Order ID “ORD0150”.</t>
  </si>
  <si>
    <t>Row Labels</t>
  </si>
  <si>
    <t>Grand Total</t>
  </si>
  <si>
    <t>Sum of Total Sales</t>
  </si>
  <si>
    <t>Sum of Unit Price</t>
  </si>
  <si>
    <t>TOTAL SALES</t>
  </si>
  <si>
    <t>TOTAL ORDERS</t>
  </si>
  <si>
    <t>AVEARGE ORDER VALUE</t>
  </si>
  <si>
    <t>TOP SALESPERSON</t>
  </si>
  <si>
    <t>Q3. Find the Region for a given Order ID (in cell B2).</t>
  </si>
  <si>
    <t>HLOOKUP</t>
  </si>
  <si>
    <t>Q4. Use HLOOKUP to return the column header “Product Category” from row 1 of the Data sheet.</t>
  </si>
  <si>
    <t>Q5. Get the “Payment Mode” from a horizontal lookup (assuming row 1 is transposed).</t>
  </si>
  <si>
    <t>Payment mode</t>
  </si>
  <si>
    <t>Find Total Sales of all orders.</t>
  </si>
  <si>
    <r>
      <t>Function used:</t>
    </r>
    <r>
      <rPr>
        <sz val="11"/>
        <color theme="1"/>
        <rFont val="Calibri"/>
        <family val="2"/>
        <scheme val="minor"/>
      </rPr>
      <t xml:space="preserve"> </t>
    </r>
    <r>
      <rPr>
        <sz val="10"/>
        <color theme="1"/>
        <rFont val="Arial Unicode MS"/>
        <family val="2"/>
      </rPr>
      <t>SUM</t>
    </r>
  </si>
  <si>
    <t>Count total number of orders.</t>
  </si>
  <si>
    <r>
      <t>Function:</t>
    </r>
    <r>
      <rPr>
        <sz val="11"/>
        <color theme="1"/>
        <rFont val="Calibri"/>
        <family val="2"/>
        <scheme val="minor"/>
      </rPr>
      <t xml:space="preserve"> </t>
    </r>
    <r>
      <rPr>
        <sz val="10"/>
        <color theme="1"/>
        <rFont val="Arial Unicode MS"/>
        <family val="2"/>
      </rPr>
      <t>COUNT / COUNTA</t>
    </r>
  </si>
  <si>
    <t>CountA:</t>
  </si>
  <si>
    <t>Count:</t>
  </si>
  <si>
    <r>
      <t xml:space="preserve">Find the </t>
    </r>
    <r>
      <rPr>
        <b/>
        <sz val="11"/>
        <color theme="1"/>
        <rFont val="Calibri"/>
        <family val="2"/>
        <scheme val="minor"/>
      </rPr>
      <t>highest single sale</t>
    </r>
    <r>
      <rPr>
        <sz val="11"/>
        <color theme="1"/>
        <rFont val="Calibri"/>
        <family val="2"/>
        <scheme val="minor"/>
      </rPr>
      <t>.</t>
    </r>
  </si>
  <si>
    <r>
      <t>Function:</t>
    </r>
    <r>
      <rPr>
        <sz val="11"/>
        <color theme="1"/>
        <rFont val="Calibri"/>
        <family val="2"/>
        <scheme val="minor"/>
      </rPr>
      <t xml:space="preserve"> </t>
    </r>
    <r>
      <rPr>
        <sz val="10"/>
        <color theme="1"/>
        <rFont val="Arial Unicode MS"/>
        <family val="2"/>
      </rPr>
      <t>MAX</t>
    </r>
  </si>
  <si>
    <t>Sales</t>
  </si>
  <si>
    <r>
      <t xml:space="preserve">Calculate </t>
    </r>
    <r>
      <rPr>
        <b/>
        <sz val="11"/>
        <color theme="1"/>
        <rFont val="Calibri"/>
        <family val="2"/>
        <scheme val="minor"/>
      </rPr>
      <t>average order value</t>
    </r>
    <r>
      <rPr>
        <sz val="11"/>
        <color theme="1"/>
        <rFont val="Calibri"/>
        <family val="2"/>
        <scheme val="minor"/>
      </rPr>
      <t>.</t>
    </r>
  </si>
  <si>
    <r>
      <t>Function:</t>
    </r>
    <r>
      <rPr>
        <sz val="11"/>
        <color theme="1"/>
        <rFont val="Calibri"/>
        <family val="2"/>
        <scheme val="minor"/>
      </rPr>
      <t xml:space="preserve"> </t>
    </r>
    <r>
      <rPr>
        <sz val="10"/>
        <color theme="1"/>
        <rFont val="Arial Unicode MS"/>
        <family val="2"/>
      </rPr>
      <t>AVERAGE</t>
    </r>
  </si>
  <si>
    <t>Order value</t>
  </si>
  <si>
    <r>
      <t xml:space="preserve">Count how many orders were paid using </t>
    </r>
    <r>
      <rPr>
        <b/>
        <sz val="11"/>
        <color theme="1"/>
        <rFont val="Calibri"/>
        <family val="2"/>
        <scheme val="minor"/>
      </rPr>
      <t>UPI</t>
    </r>
    <r>
      <rPr>
        <sz val="11"/>
        <color theme="1"/>
        <rFont val="Calibri"/>
        <family val="2"/>
        <scheme val="minor"/>
      </rPr>
      <t>.</t>
    </r>
  </si>
  <si>
    <r>
      <t>Function:</t>
    </r>
    <r>
      <rPr>
        <sz val="11"/>
        <color theme="1"/>
        <rFont val="Calibri"/>
        <family val="2"/>
        <scheme val="minor"/>
      </rPr>
      <t xml:space="preserve"> </t>
    </r>
    <r>
      <rPr>
        <sz val="10"/>
        <color theme="1"/>
        <rFont val="Arial Unicode MS"/>
        <family val="2"/>
      </rPr>
      <t>COUNTIF</t>
    </r>
  </si>
  <si>
    <r>
      <t xml:space="preserve">Return the </t>
    </r>
    <r>
      <rPr>
        <b/>
        <sz val="11"/>
        <color theme="1"/>
        <rFont val="Calibri"/>
        <family val="2"/>
        <scheme val="minor"/>
      </rPr>
      <t>Product Name</t>
    </r>
    <r>
      <rPr>
        <sz val="11"/>
        <color theme="1"/>
        <rFont val="Calibri"/>
        <family val="2"/>
        <scheme val="minor"/>
      </rPr>
      <t xml:space="preserve"> for Order ID “ORD0100”.</t>
    </r>
  </si>
  <si>
    <r>
      <t>Functions:</t>
    </r>
    <r>
      <rPr>
        <sz val="11"/>
        <color theme="1"/>
        <rFont val="Calibri"/>
        <family val="2"/>
        <scheme val="minor"/>
      </rPr>
      <t xml:space="preserve"> </t>
    </r>
    <r>
      <rPr>
        <sz val="10"/>
        <color theme="1"/>
        <rFont val="Arial Unicode MS"/>
        <family val="2"/>
      </rPr>
      <t>INDEX + MATCH</t>
    </r>
  </si>
  <si>
    <t>ORDO100</t>
  </si>
  <si>
    <t>SINGLE COMBINED QUESTION:</t>
  </si>
  <si>
    <t>“Using Order ID in cell A2, display:</t>
  </si>
  <si>
    <t>Sales Category (High/Medium/Low)”</t>
  </si>
  <si>
    <t>CONDITIONAL FORMATTING QUESTIONS</t>
  </si>
  <si>
    <r>
      <t xml:space="preserve">Highlight </t>
    </r>
    <r>
      <rPr>
        <b/>
        <sz val="11"/>
        <color theme="1"/>
        <rFont val="Calibri"/>
        <family val="2"/>
        <scheme val="minor"/>
      </rPr>
      <t>High Sales (&gt;15000)</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</si>
</sst>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b/>
      <sz val="11"/>
      <color theme="1"/>
      <name val="Calibri"/>
      <family val="2"/>
      <scheme val="minor"/>
    </font>
    <font>
      <sz val="16"/>
      <color theme="1"/>
      <name val="Arial Black"/>
      <family val="2"/>
    </font>
    <font>
      <b/>
      <sz val="16"/>
      <color theme="0"/>
      <name val="Calibri"/>
      <family val="2"/>
      <scheme val="minor"/>
    </font>
    <font>
      <b/>
      <sz val="18"/>
      <color theme="0"/>
      <name val="Calibri"/>
      <family val="2"/>
      <scheme val="minor"/>
    </font>
    <font>
      <b/>
      <sz val="16"/>
      <color theme="1"/>
      <name val="Arial Black"/>
      <family val="2"/>
    </font>
    <font>
      <b/>
      <sz val="13.5"/>
      <color theme="1"/>
      <name val="Calibri"/>
      <family val="2"/>
      <scheme val="minor"/>
    </font>
    <font>
      <sz val="10"/>
      <color theme="1"/>
      <name val="Arial Unicode MS"/>
      <family val="2"/>
    </font>
  </fonts>
  <fills count="12">
    <fill>
      <patternFill patternType="none"/>
    </fill>
    <fill>
      <patternFill patternType="gray125"/>
    </fill>
    <fill>
      <patternFill patternType="solid">
        <fgColor theme="0" tint="-0.34998626667073579"/>
        <bgColor theme="0" tint="-0.499984740745262"/>
      </patternFill>
    </fill>
    <fill>
      <patternFill patternType="solid">
        <fgColor theme="5" tint="-0.249977111117893"/>
        <bgColor theme="0" tint="-0.499984740745262"/>
      </patternFill>
    </fill>
    <fill>
      <patternFill patternType="solid">
        <fgColor theme="8" tint="-0.249977111117893"/>
        <bgColor theme="0" tint="-0.499984740745262"/>
      </patternFill>
    </fill>
    <fill>
      <patternFill patternType="solid">
        <fgColor theme="6"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2" tint="-0.499984740745262"/>
        <bgColor theme="0" tint="-0.499984740745262"/>
      </patternFill>
    </fill>
    <fill>
      <patternFill patternType="solid">
        <fgColor theme="4" tint="-0.249977111117893"/>
        <bgColor theme="0" tint="-0.499984740745262"/>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0" borderId="0" xfId="0" applyFont="1"/>
    <xf numFmtId="0" fontId="0" fillId="0" borderId="0" xfId="0" applyAlignment="1">
      <alignment horizontal="left" vertical="center" indent="1"/>
    </xf>
    <xf numFmtId="0" fontId="2" fillId="5" borderId="0" xfId="0" applyFont="1" applyFill="1" applyAlignment="1">
      <alignment vertical="center"/>
    </xf>
    <xf numFmtId="0" fontId="0" fillId="6" borderId="0" xfId="0" applyFill="1"/>
    <xf numFmtId="0" fontId="0" fillId="7" borderId="0" xfId="0" applyFill="1"/>
    <xf numFmtId="0" fontId="0" fillId="8" borderId="0" xfId="0" applyFill="1"/>
    <xf numFmtId="0" fontId="5" fillId="5" borderId="0" xfId="0" applyFont="1" applyFill="1"/>
    <xf numFmtId="0" fontId="0" fillId="5" borderId="0" xfId="0" applyFill="1"/>
    <xf numFmtId="0" fontId="6" fillId="5" borderId="0" xfId="0" applyFont="1" applyFill="1" applyAlignment="1">
      <alignment vertical="center"/>
    </xf>
    <xf numFmtId="0" fontId="1" fillId="9" borderId="0" xfId="0" applyFont="1" applyFill="1"/>
    <xf numFmtId="0" fontId="0" fillId="9" borderId="0" xfId="0" applyFill="1"/>
    <xf numFmtId="0" fontId="3" fillId="3" borderId="0" xfId="0" applyFont="1" applyFill="1" applyAlignment="1">
      <alignment horizontal="center"/>
    </xf>
    <xf numFmtId="0" fontId="3" fillId="4" borderId="0" xfId="0" applyFont="1" applyFill="1" applyAlignment="1">
      <alignment horizontal="center"/>
    </xf>
    <xf numFmtId="164" fontId="3" fillId="4" borderId="0" xfId="0" applyNumberFormat="1" applyFont="1" applyFill="1" applyAlignment="1">
      <alignment horizontal="center"/>
    </xf>
    <xf numFmtId="164" fontId="4" fillId="10" borderId="1" xfId="0" applyNumberFormat="1" applyFont="1" applyFill="1" applyBorder="1" applyAlignment="1">
      <alignment horizontal="center"/>
    </xf>
    <xf numFmtId="164" fontId="4" fillId="10" borderId="2" xfId="0" applyNumberFormat="1" applyFont="1" applyFill="1" applyBorder="1" applyAlignment="1">
      <alignment horizontal="center"/>
    </xf>
    <xf numFmtId="0" fontId="3" fillId="11" borderId="3" xfId="0" applyFont="1" applyFill="1" applyBorder="1" applyAlignment="1">
      <alignment horizontal="center"/>
    </xf>
    <xf numFmtId="0" fontId="3" fillId="11" borderId="0" xfId="0" applyFont="1" applyFill="1" applyAlignment="1">
      <alignment horizontal="center"/>
    </xf>
    <xf numFmtId="164" fontId="4" fillId="10" borderId="3" xfId="0" applyNumberFormat="1" applyFont="1" applyFill="1" applyBorder="1" applyAlignment="1">
      <alignment horizontal="center"/>
    </xf>
    <xf numFmtId="164" fontId="4" fillId="10" borderId="4" xfId="0" applyNumberFormat="1" applyFont="1" applyFill="1" applyBorder="1" applyAlignment="1">
      <alignment horizontal="center"/>
    </xf>
    <xf numFmtId="164" fontId="4" fillId="10" borderId="5" xfId="0" applyNumberFormat="1" applyFont="1" applyFill="1" applyBorder="1" applyAlignment="1">
      <alignment horizontal="center"/>
    </xf>
    <xf numFmtId="164" fontId="4" fillId="10" borderId="6" xfId="0" applyNumberFormat="1" applyFont="1" applyFill="1" applyBorder="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[Excel_DASHBOARD__.xlsx]Pivot Table!PivotTable9</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Table'!$A$3:$A$7</c:f>
              <c:strCache>
                <c:ptCount val="4"/>
                <c:pt idx="0">
                  <c:v>East</c:v>
                </c:pt>
                <c:pt idx="1">
                  <c:v>North</c:v>
                </c:pt>
                <c:pt idx="2">
                  <c:v>South</c:v>
                </c:pt>
                <c:pt idx="3">
                  <c:v>West</c:v>
                </c:pt>
              </c:strCache>
            </c:strRef>
          </c:cat>
          <c:val>
            <c:numRef>
              <c:f>'Pivot Table'!$B$3:$B$7</c:f>
              <c:numCache>
                <c:formatCode>General</c:formatCode>
                <c:ptCount val="4"/>
                <c:pt idx="0">
                  <c:v>1348379</c:v>
                </c:pt>
                <c:pt idx="1">
                  <c:v>1759806</c:v>
                </c:pt>
                <c:pt idx="2">
                  <c:v>1238570</c:v>
                </c:pt>
                <c:pt idx="3">
                  <c:v>1153606</c:v>
                </c:pt>
              </c:numCache>
            </c:numRef>
          </c:val>
          <c:extLst>
            <c:ext xmlns:c16="http://schemas.microsoft.com/office/drawing/2014/chart" uri="{C3380CC4-5D6E-409C-BE32-E72D297353CC}">
              <c16:uniqueId val="{00000000-7A9A-4F4E-AC9B-565057D74125}"/>
            </c:ext>
          </c:extLst>
        </c:ser>
        <c:dLbls>
          <c:dLblPos val="inEnd"/>
          <c:showLegendKey val="0"/>
          <c:showVal val="1"/>
          <c:showCatName val="0"/>
          <c:showSerName val="0"/>
          <c:showPercent val="0"/>
          <c:showBubbleSize val="0"/>
        </c:dLbls>
        <c:gapWidth val="100"/>
        <c:overlap val="-24"/>
        <c:axId val="1148477440"/>
        <c:axId val="1148477920"/>
      </c:barChart>
      <c:catAx>
        <c:axId val="11484774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477920"/>
        <c:crosses val="autoZero"/>
        <c:auto val="1"/>
        <c:lblAlgn val="ctr"/>
        <c:lblOffset val="100"/>
        <c:noMultiLvlLbl val="0"/>
      </c:catAx>
      <c:valAx>
        <c:axId val="1148477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47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2">
          <a:lumMod val="60000"/>
          <a:lumOff val="40000"/>
        </a:schemeClr>
      </a:solid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[Excel_DASHBOARD__.xlsx]Pivot Table!PivotTable10</c:name>
    <c:fmtId val="1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Table'!$F$2</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Table'!$E$3:$E$14</c:f>
              <c:strCache>
                <c:ptCount val="11"/>
                <c:pt idx="0">
                  <c:v>2024-01-02</c:v>
                </c:pt>
                <c:pt idx="1">
                  <c:v>2024-02-09</c:v>
                </c:pt>
                <c:pt idx="2">
                  <c:v>2024-03-01</c:v>
                </c:pt>
                <c:pt idx="3">
                  <c:v>2024-05-01</c:v>
                </c:pt>
                <c:pt idx="4">
                  <c:v>2024-06-01</c:v>
                </c:pt>
                <c:pt idx="5">
                  <c:v>2024-07-01</c:v>
                </c:pt>
                <c:pt idx="6">
                  <c:v>2024-07-28</c:v>
                </c:pt>
                <c:pt idx="7">
                  <c:v>2024-08-01</c:v>
                </c:pt>
                <c:pt idx="8">
                  <c:v>2024-09-01</c:v>
                </c:pt>
                <c:pt idx="9">
                  <c:v>2024-10-01</c:v>
                </c:pt>
                <c:pt idx="10">
                  <c:v>2024-10-27</c:v>
                </c:pt>
              </c:strCache>
            </c:strRef>
          </c:cat>
          <c:val>
            <c:numRef>
              <c:f>'Pivot Table'!$F$3:$F$14</c:f>
              <c:numCache>
                <c:formatCode>General</c:formatCode>
                <c:ptCount val="11"/>
                <c:pt idx="0">
                  <c:v>46387</c:v>
                </c:pt>
                <c:pt idx="1">
                  <c:v>20966</c:v>
                </c:pt>
                <c:pt idx="2">
                  <c:v>3006</c:v>
                </c:pt>
                <c:pt idx="3">
                  <c:v>34663</c:v>
                </c:pt>
                <c:pt idx="4">
                  <c:v>1858</c:v>
                </c:pt>
                <c:pt idx="5">
                  <c:v>8055</c:v>
                </c:pt>
                <c:pt idx="6">
                  <c:v>20968</c:v>
                </c:pt>
                <c:pt idx="7">
                  <c:v>31828</c:v>
                </c:pt>
                <c:pt idx="8">
                  <c:v>16970</c:v>
                </c:pt>
                <c:pt idx="9">
                  <c:v>40902</c:v>
                </c:pt>
                <c:pt idx="10">
                  <c:v>38259</c:v>
                </c:pt>
              </c:numCache>
            </c:numRef>
          </c:val>
          <c:smooth val="0"/>
          <c:extLst>
            <c:ext xmlns:c16="http://schemas.microsoft.com/office/drawing/2014/chart" uri="{C3380CC4-5D6E-409C-BE32-E72D297353CC}">
              <c16:uniqueId val="{00000000-BA9E-425F-8E04-5BA696070378}"/>
            </c:ext>
          </c:extLst>
        </c:ser>
        <c:dLbls>
          <c:showLegendKey val="0"/>
          <c:showVal val="0"/>
          <c:showCatName val="0"/>
          <c:showSerName val="0"/>
          <c:showPercent val="0"/>
          <c:showBubbleSize val="0"/>
        </c:dLbls>
        <c:marker val="1"/>
        <c:smooth val="0"/>
        <c:axId val="1152348304"/>
        <c:axId val="1026869984"/>
      </c:lineChart>
      <c:catAx>
        <c:axId val="1152348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6869984"/>
        <c:crosses val="autoZero"/>
        <c:auto val="1"/>
        <c:lblAlgn val="ctr"/>
        <c:lblOffset val="100"/>
        <c:noMultiLvlLbl val="0"/>
      </c:catAx>
      <c:valAx>
        <c:axId val="102686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234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2">
          <a:lumMod val="60000"/>
          <a:lumOff val="40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[Excel_DASHBOARD__.xlsx]Pivot Table!PivotTable11</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'Pivot Table'!$B$20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A0E-4B4C-BE7E-131F66429DD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A0E-4B4C-BE7E-131F66429DD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A0E-4B4C-BE7E-131F66429DD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A0E-4B4C-BE7E-131F66429DD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A0E-4B4C-BE7E-131F66429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Table'!$A$21:$A$25</c:f>
              <c:strCache>
                <c:ptCount val="4"/>
                <c:pt idx="0">
                  <c:v>Clothing</c:v>
                </c:pt>
                <c:pt idx="1">
                  <c:v>Electronics</c:v>
                </c:pt>
                <c:pt idx="2">
                  <c:v>Furniture</c:v>
                </c:pt>
                <c:pt idx="3">
                  <c:v>Groceries</c:v>
                </c:pt>
              </c:strCache>
            </c:strRef>
          </c:cat>
          <c:val>
            <c:numRef>
              <c:f>'Pivot Table'!$B$21:$B$25</c:f>
              <c:numCache>
                <c:formatCode>General</c:formatCode>
                <c:ptCount val="4"/>
                <c:pt idx="0">
                  <c:v>1186491</c:v>
                </c:pt>
                <c:pt idx="1">
                  <c:v>1364890</c:v>
                </c:pt>
                <c:pt idx="2">
                  <c:v>1348565</c:v>
                </c:pt>
                <c:pt idx="3">
                  <c:v>1600415</c:v>
                </c:pt>
              </c:numCache>
            </c:numRef>
          </c:val>
          <c:extLst>
            <c:ext xmlns:c16="http://schemas.microsoft.com/office/drawing/2014/chart" uri="{C3380CC4-5D6E-409C-BE32-E72D297353CC}">
              <c16:uniqueId val="{0000000A-7A0E-4B4C-BE7E-131F66429DD8}"/>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2">
          <a:lumMod val="60000"/>
          <a:lumOff val="40000"/>
        </a:schemeClr>
      </a:solid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[Excel_DASHBOARD__.xlsx]Pivot Table!PivotTable12</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Table'!$E$21:$E$28</c:f>
              <c:strCache>
                <c:ptCount val="7"/>
                <c:pt idx="0">
                  <c:v>Amit</c:v>
                </c:pt>
                <c:pt idx="1">
                  <c:v>John</c:v>
                </c:pt>
                <c:pt idx="2">
                  <c:v>Nisha</c:v>
                </c:pt>
                <c:pt idx="3">
                  <c:v>Priya</c:v>
                </c:pt>
                <c:pt idx="4">
                  <c:v>Rahul</c:v>
                </c:pt>
                <c:pt idx="5">
                  <c:v>Sneha</c:v>
                </c:pt>
                <c:pt idx="6">
                  <c:v>Vibek</c:v>
                </c:pt>
              </c:strCache>
            </c:strRef>
          </c:cat>
          <c:val>
            <c:numRef>
              <c:f>'Pivot Table'!$F$21:$F$28</c:f>
              <c:numCache>
                <c:formatCode>General</c:formatCode>
                <c:ptCount val="7"/>
                <c:pt idx="0">
                  <c:v>859982</c:v>
                </c:pt>
                <c:pt idx="1">
                  <c:v>818227</c:v>
                </c:pt>
                <c:pt idx="2">
                  <c:v>692443</c:v>
                </c:pt>
                <c:pt idx="3">
                  <c:v>638241</c:v>
                </c:pt>
                <c:pt idx="4">
                  <c:v>900122</c:v>
                </c:pt>
                <c:pt idx="5">
                  <c:v>711013</c:v>
                </c:pt>
                <c:pt idx="6">
                  <c:v>880333</c:v>
                </c:pt>
              </c:numCache>
            </c:numRef>
          </c:val>
          <c:extLst>
            <c:ext xmlns:c16="http://schemas.microsoft.com/office/drawing/2014/chart" uri="{C3380CC4-5D6E-409C-BE32-E72D297353CC}">
              <c16:uniqueId val="{00000000-5C81-4B6C-BDAD-248F2C125A9A}"/>
            </c:ext>
          </c:extLst>
        </c:ser>
        <c:dLbls>
          <c:showLegendKey val="0"/>
          <c:showVal val="0"/>
          <c:showCatName val="0"/>
          <c:showSerName val="0"/>
          <c:showPercent val="0"/>
          <c:showBubbleSize val="0"/>
        </c:dLbls>
        <c:gapWidth val="115"/>
        <c:overlap val="-20"/>
        <c:axId val="757152480"/>
        <c:axId val="757153440"/>
      </c:barChart>
      <c:catAx>
        <c:axId val="757152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7153440"/>
        <c:crosses val="autoZero"/>
        <c:auto val="1"/>
        <c:lblAlgn val="ctr"/>
        <c:lblOffset val="100"/>
        <c:noMultiLvlLbl val="0"/>
      </c:catAx>
      <c:valAx>
        <c:axId val="757153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71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2">
          <a:lumMod val="60000"/>
          <a:lumOff val="40000"/>
        </a:schemeClr>
      </a:solid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[Excel_DASHBOARD__.xlsx]Pivot Table!PivotTable14</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Table'!$J$2</c:f>
              <c:strCache>
                <c:ptCount val="1"/>
                <c:pt idx="0">
                  <c:v>Sum of Total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Table'!$I$3:$I$7</c:f>
              <c:strCache>
                <c:ptCount val="4"/>
                <c:pt idx="0">
                  <c:v>Cash</c:v>
                </c:pt>
                <c:pt idx="1">
                  <c:v>Credit Card</c:v>
                </c:pt>
                <c:pt idx="2">
                  <c:v>Debit Card</c:v>
                </c:pt>
                <c:pt idx="3">
                  <c:v>UPI</c:v>
                </c:pt>
              </c:strCache>
            </c:strRef>
          </c:cat>
          <c:val>
            <c:numRef>
              <c:f>'Pivot Table'!$J$3:$J$7</c:f>
              <c:numCache>
                <c:formatCode>General</c:formatCode>
                <c:ptCount val="4"/>
                <c:pt idx="0">
                  <c:v>1375570</c:v>
                </c:pt>
                <c:pt idx="1">
                  <c:v>1519135</c:v>
                </c:pt>
                <c:pt idx="2">
                  <c:v>1292752</c:v>
                </c:pt>
                <c:pt idx="3">
                  <c:v>1312904</c:v>
                </c:pt>
              </c:numCache>
            </c:numRef>
          </c:val>
          <c:extLst>
            <c:ext xmlns:c16="http://schemas.microsoft.com/office/drawing/2014/chart" uri="{C3380CC4-5D6E-409C-BE32-E72D297353CC}">
              <c16:uniqueId val="{00000000-F94E-4CFD-8E9A-4203F83ACC6D}"/>
            </c:ext>
          </c:extLst>
        </c:ser>
        <c:ser>
          <c:idx val="1"/>
          <c:order val="1"/>
          <c:tx>
            <c:strRef>
              <c:f>'Pivot Table'!$K$2</c:f>
              <c:strCache>
                <c:ptCount val="1"/>
                <c:pt idx="0">
                  <c:v>Sum of Unit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Table'!$I$3:$I$7</c:f>
              <c:strCache>
                <c:ptCount val="4"/>
                <c:pt idx="0">
                  <c:v>Cash</c:v>
                </c:pt>
                <c:pt idx="1">
                  <c:v>Credit Card</c:v>
                </c:pt>
                <c:pt idx="2">
                  <c:v>Debit Card</c:v>
                </c:pt>
                <c:pt idx="3">
                  <c:v>UPI</c:v>
                </c:pt>
              </c:strCache>
            </c:strRef>
          </c:cat>
          <c:val>
            <c:numRef>
              <c:f>'Pivot Table'!$K$3:$K$7</c:f>
              <c:numCache>
                <c:formatCode>General</c:formatCode>
                <c:ptCount val="4"/>
                <c:pt idx="0">
                  <c:v>127214</c:v>
                </c:pt>
                <c:pt idx="1">
                  <c:v>141720</c:v>
                </c:pt>
                <c:pt idx="2">
                  <c:v>117392</c:v>
                </c:pt>
                <c:pt idx="3">
                  <c:v>125725</c:v>
                </c:pt>
              </c:numCache>
            </c:numRef>
          </c:val>
          <c:extLst>
            <c:ext xmlns:c16="http://schemas.microsoft.com/office/drawing/2014/chart" uri="{C3380CC4-5D6E-409C-BE32-E72D297353CC}">
              <c16:uniqueId val="{00000001-F94E-4CFD-8E9A-4203F83ACC6D}"/>
            </c:ext>
          </c:extLst>
        </c:ser>
        <c:dLbls>
          <c:showLegendKey val="0"/>
          <c:showVal val="0"/>
          <c:showCatName val="0"/>
          <c:showSerName val="0"/>
          <c:showPercent val="0"/>
          <c:showBubbleSize val="0"/>
        </c:dLbls>
        <c:axId val="1194191920"/>
        <c:axId val="1194186640"/>
      </c:radarChart>
      <c:catAx>
        <c:axId val="11941919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186640"/>
        <c:crosses val="autoZero"/>
        <c:auto val="1"/>
        <c:lblAlgn val="ctr"/>
        <c:lblOffset val="100"/>
        <c:noMultiLvlLbl val="0"/>
      </c:catAx>
      <c:valAx>
        <c:axId val="11941866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419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2">
          <a:lumMod val="60000"/>
          <a:lumOff val="40000"/>
        </a:schemeClr>
      </a:solid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[Excel_DASHBOARD__.xlsx]Pivot Table!PivotTable15</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Table'!$J$10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multiLvlStrRef>
              <c:f>'Pivot Table'!$I$11:$I$31</c:f>
              <c:multiLvlStrCache>
                <c:ptCount val="16"/>
                <c:lvl>
                  <c:pt idx="0">
                    <c:v>Clothing</c:v>
                  </c:pt>
                  <c:pt idx="1">
                    <c:v>Electronics</c:v>
                  </c:pt>
                  <c:pt idx="2">
                    <c:v>Furniture</c:v>
                  </c:pt>
                  <c:pt idx="3">
                    <c:v>Groceries</c:v>
                  </c:pt>
                  <c:pt idx="4">
                    <c:v>Clothing</c:v>
                  </c:pt>
                  <c:pt idx="5">
                    <c:v>Electronics</c:v>
                  </c:pt>
                  <c:pt idx="6">
                    <c:v>Furniture</c:v>
                  </c:pt>
                  <c:pt idx="7">
                    <c:v>Groceries</c:v>
                  </c:pt>
                  <c:pt idx="8">
                    <c:v>Clothing</c:v>
                  </c:pt>
                  <c:pt idx="9">
                    <c:v>Electronics</c:v>
                  </c:pt>
                  <c:pt idx="10">
                    <c:v>Furniture</c:v>
                  </c:pt>
                  <c:pt idx="11">
                    <c:v>Groceries</c:v>
                  </c:pt>
                  <c:pt idx="12">
                    <c:v>Clothing</c:v>
                  </c:pt>
                  <c:pt idx="13">
                    <c:v>Electronics</c:v>
                  </c:pt>
                  <c:pt idx="14">
                    <c:v>Furniture</c:v>
                  </c:pt>
                  <c:pt idx="15">
                    <c:v>Groceries</c:v>
                  </c:pt>
                </c:lvl>
                <c:lvl>
                  <c:pt idx="0">
                    <c:v>East</c:v>
                  </c:pt>
                  <c:pt idx="4">
                    <c:v>North</c:v>
                  </c:pt>
                  <c:pt idx="8">
                    <c:v>South</c:v>
                  </c:pt>
                  <c:pt idx="12">
                    <c:v>West</c:v>
                  </c:pt>
                </c:lvl>
              </c:multiLvlStrCache>
            </c:multiLvlStrRef>
          </c:cat>
          <c:val>
            <c:numRef>
              <c:f>'Pivot Table'!$J$11:$J$31</c:f>
              <c:numCache>
                <c:formatCode>General</c:formatCode>
                <c:ptCount val="16"/>
                <c:pt idx="0">
                  <c:v>27203</c:v>
                </c:pt>
                <c:pt idx="1">
                  <c:v>23186</c:v>
                </c:pt>
                <c:pt idx="2">
                  <c:v>33823</c:v>
                </c:pt>
                <c:pt idx="3">
                  <c:v>33220</c:v>
                </c:pt>
                <c:pt idx="4">
                  <c:v>29416</c:v>
                </c:pt>
                <c:pt idx="5">
                  <c:v>42552</c:v>
                </c:pt>
                <c:pt idx="6">
                  <c:v>37087</c:v>
                </c:pt>
                <c:pt idx="7">
                  <c:v>45451</c:v>
                </c:pt>
                <c:pt idx="8">
                  <c:v>19406</c:v>
                </c:pt>
                <c:pt idx="9">
                  <c:v>32711</c:v>
                </c:pt>
                <c:pt idx="10">
                  <c:v>27552</c:v>
                </c:pt>
                <c:pt idx="11">
                  <c:v>33728</c:v>
                </c:pt>
                <c:pt idx="12">
                  <c:v>30052</c:v>
                </c:pt>
                <c:pt idx="13">
                  <c:v>25968</c:v>
                </c:pt>
                <c:pt idx="14">
                  <c:v>32228</c:v>
                </c:pt>
                <c:pt idx="15">
                  <c:v>38468</c:v>
                </c:pt>
              </c:numCache>
            </c:numRef>
          </c:val>
          <c:extLst>
            <c:ext xmlns:c16="http://schemas.microsoft.com/office/drawing/2014/chart" uri="{C3380CC4-5D6E-409C-BE32-E72D297353CC}">
              <c16:uniqueId val="{00000000-4A90-4BE2-9794-E0E96E6001CC}"/>
            </c:ext>
          </c:extLst>
        </c:ser>
        <c:dLbls>
          <c:showLegendKey val="0"/>
          <c:showVal val="0"/>
          <c:showCatName val="0"/>
          <c:showSerName val="0"/>
          <c:showPercent val="0"/>
          <c:showBubbleSize val="0"/>
        </c:dLbls>
        <c:axId val="1023917744"/>
        <c:axId val="1023919184"/>
        <c:axId val="1083506992"/>
      </c:area3DChart>
      <c:catAx>
        <c:axId val="102391774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919184"/>
        <c:crosses val="autoZero"/>
        <c:auto val="1"/>
        <c:lblAlgn val="ctr"/>
        <c:lblOffset val="100"/>
        <c:noMultiLvlLbl val="0"/>
      </c:catAx>
      <c:valAx>
        <c:axId val="10239191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917744"/>
        <c:crosses val="autoZero"/>
        <c:crossBetween val="midCat"/>
      </c:valAx>
      <c:serAx>
        <c:axId val="108350699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39191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2">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161925</xdr:rowOff>
    </xdr:from>
    <xdr:to>
      <xdr:col>6</xdr:col>
      <xdr:colOff>533400</xdr:colOff>
      <xdr:row>19</xdr:row>
      <xdr:rowOff>47625</xdr:rowOff>
    </xdr:to>
    <xdr:graphicFrame macro="">
      <xdr:nvGraphicFramePr>
        <xdr:cNvPr id="2" name="Chart 1">
          <a:extLst>
            <a:ext uri="{FF2B5EF4-FFF2-40B4-BE49-F238E27FC236}">
              <a16:creationId xmlns:a16="http://schemas.microsoft.com/office/drawing/2014/main" id="{CAD6467A-8C65-4FEC-893F-259AFADF8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5</xdr:row>
      <xdr:rowOff>1</xdr:rowOff>
    </xdr:from>
    <xdr:to>
      <xdr:col>15</xdr:col>
      <xdr:colOff>257175</xdr:colOff>
      <xdr:row>19</xdr:row>
      <xdr:rowOff>1</xdr:rowOff>
    </xdr:to>
    <xdr:graphicFrame macro="">
      <xdr:nvGraphicFramePr>
        <xdr:cNvPr id="3" name="Chart 2">
          <a:extLst>
            <a:ext uri="{FF2B5EF4-FFF2-40B4-BE49-F238E27FC236}">
              <a16:creationId xmlns:a16="http://schemas.microsoft.com/office/drawing/2014/main" id="{BA81CAFA-BE9D-421F-9CA6-2A35620BC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0</xdr:rowOff>
    </xdr:from>
    <xdr:to>
      <xdr:col>6</xdr:col>
      <xdr:colOff>533400</xdr:colOff>
      <xdr:row>35</xdr:row>
      <xdr:rowOff>76200</xdr:rowOff>
    </xdr:to>
    <xdr:graphicFrame macro="">
      <xdr:nvGraphicFramePr>
        <xdr:cNvPr id="4" name="Chart 3">
          <a:extLst>
            <a:ext uri="{FF2B5EF4-FFF2-40B4-BE49-F238E27FC236}">
              <a16:creationId xmlns:a16="http://schemas.microsoft.com/office/drawing/2014/main" id="{211BCD8A-A7BC-44AA-BC94-06C2BE27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21</xdr:row>
      <xdr:rowOff>0</xdr:rowOff>
    </xdr:from>
    <xdr:to>
      <xdr:col>15</xdr:col>
      <xdr:colOff>304800</xdr:colOff>
      <xdr:row>35</xdr:row>
      <xdr:rowOff>76200</xdr:rowOff>
    </xdr:to>
    <xdr:graphicFrame macro="">
      <xdr:nvGraphicFramePr>
        <xdr:cNvPr id="5" name="Chart 4">
          <a:extLst>
            <a:ext uri="{FF2B5EF4-FFF2-40B4-BE49-F238E27FC236}">
              <a16:creationId xmlns:a16="http://schemas.microsoft.com/office/drawing/2014/main" id="{96BBC2F1-BB9F-466D-ABA9-1D1BC8D6E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600075</xdr:colOff>
      <xdr:row>36</xdr:row>
      <xdr:rowOff>161925</xdr:rowOff>
    </xdr:from>
    <xdr:to>
      <xdr:col>6</xdr:col>
      <xdr:colOff>533400</xdr:colOff>
      <xdr:row>51</xdr:row>
      <xdr:rowOff>142875</xdr:rowOff>
    </xdr:to>
    <xdr:graphicFrame macro="">
      <xdr:nvGraphicFramePr>
        <xdr:cNvPr id="6" name="Chart 5">
          <a:extLst>
            <a:ext uri="{FF2B5EF4-FFF2-40B4-BE49-F238E27FC236}">
              <a16:creationId xmlns:a16="http://schemas.microsoft.com/office/drawing/2014/main" id="{3D87F12A-9EF0-432C-A7A2-7E1A6FD86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571500</xdr:colOff>
      <xdr:row>37</xdr:row>
      <xdr:rowOff>0</xdr:rowOff>
    </xdr:from>
    <xdr:to>
      <xdr:col>15</xdr:col>
      <xdr:colOff>342900</xdr:colOff>
      <xdr:row>51</xdr:row>
      <xdr:rowOff>76200</xdr:rowOff>
    </xdr:to>
    <xdr:graphicFrame macro="">
      <xdr:nvGraphicFramePr>
        <xdr:cNvPr id="7" name="Chart 6">
          <a:extLst>
            <a:ext uri="{FF2B5EF4-FFF2-40B4-BE49-F238E27FC236}">
              <a16:creationId xmlns:a16="http://schemas.microsoft.com/office/drawing/2014/main" id="{700BAF46-871F-4BDC-915A-5D16A085D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180975</xdr:colOff>
      <xdr:row>4</xdr:row>
      <xdr:rowOff>180975</xdr:rowOff>
    </xdr:from>
    <xdr:to>
      <xdr:col>19</xdr:col>
      <xdr:colOff>180975</xdr:colOff>
      <xdr:row>18</xdr:row>
      <xdr:rowOff>38100</xdr:rowOff>
    </xdr:to>
    <mc:AlternateContent xmlns:mc="http://schemas.openxmlformats.org/markup-compatibility/2006">
      <mc:Choice xmlns:a14="http://schemas.microsoft.com/office/drawing/2010/main" Requires="a14">
        <xdr:graphicFrame macro="">
          <xdr:nvGraphicFramePr>
            <xdr:cNvPr id="9" name="Payment Mode">
              <a:extLst>
                <a:ext uri="{FF2B5EF4-FFF2-40B4-BE49-F238E27FC236}">
                  <a16:creationId xmlns:a16="http://schemas.microsoft.com/office/drawing/2014/main" id="{51F2472D-3B71-482B-9BF5-7F33FEA47DE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0925175" y="104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76200</xdr:colOff>
      <xdr:row>5</xdr:row>
      <xdr:rowOff>38100</xdr:rowOff>
    </xdr:from>
    <xdr:to>
      <xdr:col>23</xdr:col>
      <xdr:colOff>76200</xdr:colOff>
      <xdr:row>18</xdr:row>
      <xdr:rowOff>85725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5FD55B3-5B06-4998-BD08-9A65BBBACA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58800" y="1095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542925</xdr:colOff>
      <xdr:row>21</xdr:row>
      <xdr:rowOff>57150</xdr:rowOff>
    </xdr:from>
    <xdr:to>
      <xdr:col>18</xdr:col>
      <xdr:colOff>542925</xdr:colOff>
      <xdr:row>34</xdr:row>
      <xdr:rowOff>104775</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478C99CD-6A6F-419D-9491-C4EFC27C91D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677525" y="4162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36</xdr:row>
      <xdr:rowOff>161925</xdr:rowOff>
    </xdr:from>
    <xdr:to>
      <xdr:col>19</xdr:col>
      <xdr:colOff>38100</xdr:colOff>
      <xdr:row>50</xdr:row>
      <xdr:rowOff>19050</xdr:rowOff>
    </xdr:to>
    <mc:AlternateContent xmlns:mc="http://schemas.openxmlformats.org/markup-compatibility/2006">
      <mc:Choice xmlns:a14="http://schemas.microsoft.com/office/drawing/2010/main" Requires="a14">
        <xdr:graphicFrame macro="">
          <xdr:nvGraphicFramePr>
            <xdr:cNvPr id="12" name="Product Category">
              <a:extLst>
                <a:ext uri="{FF2B5EF4-FFF2-40B4-BE49-F238E27FC236}">
                  <a16:creationId xmlns:a16="http://schemas.microsoft.com/office/drawing/2014/main" id="{18769AC5-1E8A-4417-BAAC-6FF57A020B1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782300" y="712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004.828595254628" createdVersion="8" refreshedVersion="8" minRefreshableVersion="3" recordCount="500" xr:uid="{ED165593-1E8E-42D1-BCBB-ED2F96303102}">
  <cacheSource type="worksheet">
    <worksheetSource ref="A1:K501" sheet="Data"/>
  </cacheSource>
  <cacheFields count="11">
    <cacheField name="Order ID" numFmtId="0">
      <sharedItems count="5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haredItems>
    </cacheField>
    <cacheField name="Date" numFmtId="0">
      <sharedItems count="237">
        <s v="2024-07-08"/>
        <s v="2024-09-29"/>
        <s v="2024-07-30"/>
        <s v="2024-07-31"/>
        <s v="2024-04-19"/>
        <s v="2024-07-05"/>
        <s v="2024-03-18"/>
        <s v="2024-01-17"/>
        <s v="2024-06-19"/>
        <s v="2024-09-27"/>
        <s v="2024-09-12"/>
        <s v="2024-01-19"/>
        <s v="2024-08-19"/>
        <s v="2024-04-03"/>
        <s v="2024-10-16"/>
        <s v="2024-05-05"/>
        <s v="2024-10-20"/>
        <s v="2024-07-25"/>
        <s v="2024-02-29"/>
        <s v="2024-05-01"/>
        <s v="2024-02-15"/>
        <s v="2024-08-26"/>
        <s v="2024-07-03"/>
        <s v="2024-02-25"/>
        <s v="2024-04-08"/>
        <s v="2024-05-04"/>
        <s v="2024-03-17"/>
        <s v="2024-10-23"/>
        <s v="2024-08-11"/>
        <s v="2024-05-15"/>
        <s v="2024-08-22"/>
        <s v="2024-08-21"/>
        <s v="2024-01-07"/>
        <s v="2024-09-11"/>
        <s v="2024-07-02"/>
        <s v="2024-07-22"/>
        <s v="2024-06-11"/>
        <s v="2024-03-09"/>
        <s v="2024-01-15"/>
        <s v="2024-08-25"/>
        <s v="2024-06-14"/>
        <s v="2024-01-28"/>
        <s v="2024-02-09"/>
        <s v="2024-10-02"/>
        <s v="2024-10-08"/>
        <s v="2024-06-05"/>
        <s v="2024-06-10"/>
        <s v="2024-08-18"/>
        <s v="2024-01-09"/>
        <s v="2024-03-12"/>
        <s v="2024-05-18"/>
        <s v="2024-07-07"/>
        <s v="2024-10-26"/>
        <s v="2024-06-29"/>
        <s v="2024-06-23"/>
        <s v="2024-04-05"/>
        <s v="2024-09-08"/>
        <s v="2024-07-04"/>
        <s v="2024-07-23"/>
        <s v="2024-08-13"/>
        <s v="2024-05-12"/>
        <s v="2024-07-24"/>
        <s v="2024-03-06"/>
        <s v="2024-04-20"/>
        <s v="2024-05-11"/>
        <s v="2024-03-07"/>
        <s v="2024-02-28"/>
        <s v="2024-09-13"/>
        <s v="2024-09-18"/>
        <s v="2024-09-06"/>
        <s v="2024-08-29"/>
        <s v="2024-07-18"/>
        <s v="2024-09-23"/>
        <s v="2024-02-19"/>
        <s v="2024-07-28"/>
        <s v="2024-09-20"/>
        <s v="2024-06-01"/>
        <s v="2024-07-19"/>
        <s v="2024-01-20"/>
        <s v="2024-05-21"/>
        <s v="2024-08-08"/>
        <s v="2024-07-10"/>
        <s v="2024-08-28"/>
        <s v="2024-01-27"/>
        <s v="2024-03-30"/>
        <s v="2024-10-17"/>
        <s v="2024-04-15"/>
        <s v="2024-05-06"/>
        <s v="2024-10-14"/>
        <s v="2024-06-09"/>
        <s v="2024-05-19"/>
        <s v="2024-05-20"/>
        <s v="2024-06-21"/>
        <s v="2024-02-20"/>
        <s v="2024-05-03"/>
        <s v="2024-08-30"/>
        <s v="2024-09-04"/>
        <s v="2024-06-30"/>
        <s v="2024-06-17"/>
        <s v="2024-10-25"/>
        <s v="2024-03-03"/>
        <s v="2024-08-17"/>
        <s v="2024-06-18"/>
        <s v="2024-02-27"/>
        <s v="2024-01-30"/>
        <s v="2024-03-19"/>
        <s v="2024-05-17"/>
        <s v="2024-10-21"/>
        <s v="2024-01-14"/>
        <s v="2024-01-26"/>
        <s v="2024-05-24"/>
        <s v="2024-08-07"/>
        <s v="2024-01-31"/>
        <s v="2024-09-22"/>
        <s v="2024-02-12"/>
        <s v="2024-03-28"/>
        <s v="2024-04-30"/>
        <s v="2024-08-20"/>
        <s v="2024-01-13"/>
        <s v="2024-01-12"/>
        <s v="2024-01-23"/>
        <s v="2024-10-22"/>
        <s v="2024-06-28"/>
        <s v="2024-05-28"/>
        <s v="2024-03-25"/>
        <s v="2024-01-02"/>
        <s v="2024-08-12"/>
        <s v="2024-05-16"/>
        <s v="2024-04-24"/>
        <s v="2024-01-21"/>
        <s v="2024-01-25"/>
        <s v="2024-08-04"/>
        <s v="2024-07-06"/>
        <s v="2024-08-16"/>
        <s v="2024-10-04"/>
        <s v="2024-01-10"/>
        <s v="2024-03-22"/>
        <s v="2024-03-15"/>
        <s v="2024-06-15"/>
        <s v="2024-01-22"/>
        <s v="2024-04-06"/>
        <s v="2024-04-27"/>
        <s v="2024-03-20"/>
        <s v="2024-08-31"/>
        <s v="2024-06-16"/>
        <s v="2024-07-26"/>
        <s v="2024-10-24"/>
        <s v="2024-02-23"/>
        <s v="2024-01-05"/>
        <s v="2024-03-13"/>
        <s v="2024-05-09"/>
        <s v="2024-06-27"/>
        <s v="2024-07-01"/>
        <s v="2024-04-13"/>
        <s v="2024-05-26"/>
        <s v="2024-03-31"/>
        <s v="2024-09-25"/>
        <s v="2024-04-29"/>
        <s v="2024-08-05"/>
        <s v="2024-06-08"/>
        <s v="2024-05-25"/>
        <s v="2024-01-03"/>
        <s v="2024-07-27"/>
        <s v="2024-05-31"/>
        <s v="2024-09-05"/>
        <s v="2024-08-03"/>
        <s v="2024-08-01"/>
        <s v="2024-09-14"/>
        <s v="2024-04-12"/>
        <s v="2024-10-27"/>
        <s v="2024-06-26"/>
        <s v="2024-01-11"/>
        <s v="2024-10-01"/>
        <s v="2024-03-02"/>
        <s v="2024-08-24"/>
        <s v="2024-09-01"/>
        <s v="2024-10-09"/>
        <s v="2024-08-09"/>
        <s v="2024-09-02"/>
        <s v="2024-09-30"/>
        <s v="2024-07-09"/>
        <s v="2024-09-09"/>
        <s v="2024-05-08"/>
        <s v="2024-03-21"/>
        <s v="2024-07-20"/>
        <s v="2024-09-10"/>
        <s v="2024-07-11"/>
        <s v="2024-03-01"/>
        <s v="2024-04-02"/>
        <s v="2024-10-12"/>
        <s v="2024-09-26"/>
        <s v="2024-04-18"/>
        <s v="2024-02-16"/>
        <s v="2024-03-27"/>
        <s v="2024-06-22"/>
        <s v="2024-09-17"/>
        <s v="2024-03-04"/>
        <s v="2024-01-08"/>
        <s v="2024-04-07"/>
        <s v="2024-06-06"/>
        <s v="2024-05-30"/>
        <s v="2024-03-10"/>
        <s v="2024-03-29"/>
        <s v="2024-03-24"/>
        <s v="2024-06-07"/>
        <s v="2024-01-04"/>
        <s v="2024-10-07"/>
        <s v="2024-07-12"/>
        <s v="2024-08-02"/>
        <s v="2024-06-13"/>
        <s v="2024-05-02"/>
        <s v="2024-10-15"/>
        <s v="2024-04-28"/>
        <s v="2024-01-16"/>
        <s v="2024-03-05"/>
        <s v="2024-08-14"/>
        <s v="2024-09-24"/>
        <s v="2024-06-03"/>
        <s v="2024-05-27"/>
        <s v="2024-02-14"/>
        <s v="2024-04-10"/>
        <s v="2024-07-29"/>
        <s v="2024-04-21"/>
        <s v="2024-02-10"/>
        <s v="2024-03-23"/>
        <s v="2024-09-28"/>
        <s v="2024-10-11"/>
        <s v="2024-10-10"/>
        <s v="2024-02-22"/>
        <s v="2024-05-22"/>
        <s v="2024-02-13"/>
        <s v="2024-09-07"/>
        <s v="2024-06-24"/>
        <s v="2024-09-19"/>
        <s v="2024-08-10"/>
        <s v="2024-09-16"/>
        <s v="2024-04-23"/>
      </sharedItems>
    </cacheField>
    <cacheField name="Customer Name" numFmtId="0">
      <sharedItems count="500">
        <s v="Customer 1"/>
        <s v="Customer 2"/>
        <s v="Customer 3"/>
        <s v="Customer 4"/>
        <s v="Customer 5"/>
        <s v="Customer 6"/>
        <s v="Customer 7"/>
        <s v="Customer 8"/>
        <s v="Customer 9"/>
        <s v="Customer 10"/>
        <s v="Customer 11"/>
        <s v="Customer 12"/>
        <s v="Customer 13"/>
        <s v="Customer 14"/>
        <s v="Customer 15"/>
        <s v="Customer 16"/>
        <s v="Customer 17"/>
        <s v="Customer 18"/>
        <s v="Customer 19"/>
        <s v="Customer 20"/>
        <s v="Customer 21"/>
        <s v="Customer 22"/>
        <s v="Customer 23"/>
        <s v="Customer 24"/>
        <s v="Customer 25"/>
        <s v="Customer 26"/>
        <s v="Customer 27"/>
        <s v="Customer 28"/>
        <s v="Customer 29"/>
        <s v="Customer 30"/>
        <s v="Customer 31"/>
        <s v="Customer 32"/>
        <s v="Customer 33"/>
        <s v="Customer 34"/>
        <s v="Customer 35"/>
        <s v="Customer 36"/>
        <s v="Customer 37"/>
        <s v="Customer 38"/>
        <s v="Customer 39"/>
        <s v="Customer 40"/>
        <s v="Customer 41"/>
        <s v="Customer 42"/>
        <s v="Customer 43"/>
        <s v="Customer 44"/>
        <s v="Customer 45"/>
        <s v="Customer 46"/>
        <s v="Customer 47"/>
        <s v="Customer 48"/>
        <s v="Customer 49"/>
        <s v="Customer 50"/>
        <s v="Customer 51"/>
        <s v="Customer 52"/>
        <s v="Customer 53"/>
        <s v="Customer 54"/>
        <s v="Customer 55"/>
        <s v="Customer 56"/>
        <s v="Customer 57"/>
        <s v="Customer 58"/>
        <s v="Customer 59"/>
        <s v="Customer 60"/>
        <s v="Customer 61"/>
        <s v="Customer 62"/>
        <s v="Customer 63"/>
        <s v="Customer 64"/>
        <s v="Customer 65"/>
        <s v="Customer 66"/>
        <s v="Customer 67"/>
        <s v="Customer 68"/>
        <s v="Customer 69"/>
        <s v="Customer 70"/>
        <s v="Customer 71"/>
        <s v="Customer 72"/>
        <s v="Customer 73"/>
        <s v="Customer 74"/>
        <s v="Customer 75"/>
        <s v="Customer 76"/>
        <s v="Customer 77"/>
        <s v="Customer 78"/>
        <s v="Customer 79"/>
        <s v="Customer 80"/>
        <s v="Customer 81"/>
        <s v="Customer 82"/>
        <s v="Customer 83"/>
        <s v="Customer 84"/>
        <s v="Customer 85"/>
        <s v="Customer 86"/>
        <s v="Customer 87"/>
        <s v="Customer 88"/>
        <s v="Customer 89"/>
        <s v="Customer 90"/>
        <s v="Customer 91"/>
        <s v="Customer 92"/>
        <s v="Customer 93"/>
        <s v="Customer 94"/>
        <s v="Customer 95"/>
        <s v="Customer 96"/>
        <s v="Customer 97"/>
        <s v="Customer 98"/>
        <s v="Customer 99"/>
        <s v="Customer 100"/>
        <s v="Customer 101"/>
        <s v="Customer 102"/>
        <s v="Customer 103"/>
        <s v="Customer 104"/>
        <s v="Customer 105"/>
        <s v="Customer 106"/>
        <s v="Customer 107"/>
        <s v="Customer 108"/>
        <s v="Customer 109"/>
        <s v="Customer 110"/>
        <s v="Customer 111"/>
        <s v="Customer 112"/>
        <s v="Customer 113"/>
        <s v="Customer 114"/>
        <s v="Customer 115"/>
        <s v="Customer 116"/>
        <s v="Customer 117"/>
        <s v="Customer 118"/>
        <s v="Customer 119"/>
        <s v="Customer 120"/>
        <s v="Customer 121"/>
        <s v="Customer 122"/>
        <s v="Customer 123"/>
        <s v="Customer 124"/>
        <s v="Customer 125"/>
        <s v="Customer 126"/>
        <s v="Customer 127"/>
        <s v="Customer 128"/>
        <s v="Customer 129"/>
        <s v="Customer 130"/>
        <s v="Customer 131"/>
        <s v="Customer 132"/>
        <s v="Customer 133"/>
        <s v="Customer 134"/>
        <s v="Customer 135"/>
        <s v="Customer 136"/>
        <s v="Customer 137"/>
        <s v="Customer 138"/>
        <s v="Customer 139"/>
        <s v="Customer 140"/>
        <s v="Customer 141"/>
        <s v="Customer 142"/>
        <s v="Customer 143"/>
        <s v="Customer 144"/>
        <s v="Customer 145"/>
        <s v="Customer 146"/>
        <s v="Customer 147"/>
        <s v="Customer 148"/>
        <s v="Customer 149"/>
        <s v="Customer 150"/>
        <s v="Customer 151"/>
        <s v="Customer 152"/>
        <s v="Customer 153"/>
        <s v="Customer 154"/>
        <s v="Customer 155"/>
        <s v="Customer 156"/>
        <s v="Customer 157"/>
        <s v="Customer 158"/>
        <s v="Customer 159"/>
        <s v="Customer 160"/>
        <s v="Customer 161"/>
        <s v="Customer 162"/>
        <s v="Customer 163"/>
        <s v="Customer 164"/>
        <s v="Customer 165"/>
        <s v="Customer 166"/>
        <s v="Customer 167"/>
        <s v="Customer 168"/>
        <s v="Customer 169"/>
        <s v="Customer 170"/>
        <s v="Customer 171"/>
        <s v="Customer 172"/>
        <s v="Customer 173"/>
        <s v="Customer 174"/>
        <s v="Customer 175"/>
        <s v="Customer 176"/>
        <s v="Customer 177"/>
        <s v="Customer 178"/>
        <s v="Customer 179"/>
        <s v="Customer 180"/>
        <s v="Customer 181"/>
        <s v="Customer 182"/>
        <s v="Customer 183"/>
        <s v="Customer 184"/>
        <s v="Customer 185"/>
        <s v="Customer 186"/>
        <s v="Customer 187"/>
        <s v="Customer 188"/>
        <s v="Customer 189"/>
        <s v="Customer 190"/>
        <s v="Customer 191"/>
        <s v="Customer 192"/>
        <s v="Customer 193"/>
        <s v="Customer 194"/>
        <s v="Customer 195"/>
        <s v="Customer 196"/>
        <s v="Customer 197"/>
        <s v="Customer 198"/>
        <s v="Customer 199"/>
        <s v="Customer 200"/>
        <s v="Customer 201"/>
        <s v="Customer 202"/>
        <s v="Customer 203"/>
        <s v="Customer 204"/>
        <s v="Customer 205"/>
        <s v="Customer 206"/>
        <s v="Customer 207"/>
        <s v="Customer 208"/>
        <s v="Customer 209"/>
        <s v="Customer 210"/>
        <s v="Customer 211"/>
        <s v="Customer 212"/>
        <s v="Customer 213"/>
        <s v="Customer 214"/>
        <s v="Customer 215"/>
        <s v="Customer 216"/>
        <s v="Customer 217"/>
        <s v="Customer 218"/>
        <s v="Customer 219"/>
        <s v="Customer 220"/>
        <s v="Customer 221"/>
        <s v="Customer 222"/>
        <s v="Customer 223"/>
        <s v="Customer 224"/>
        <s v="Customer 225"/>
        <s v="Customer 226"/>
        <s v="Customer 227"/>
        <s v="Customer 228"/>
        <s v="Customer 229"/>
        <s v="Customer 230"/>
        <s v="Customer 231"/>
        <s v="Customer 232"/>
        <s v="Customer 233"/>
        <s v="Customer 234"/>
        <s v="Customer 235"/>
        <s v="Customer 236"/>
        <s v="Customer 237"/>
        <s v="Customer 238"/>
        <s v="Customer 239"/>
        <s v="Customer 240"/>
        <s v="Customer 241"/>
        <s v="Customer 242"/>
        <s v="Customer 243"/>
        <s v="Customer 244"/>
        <s v="Customer 245"/>
        <s v="Customer 246"/>
        <s v="Customer 247"/>
        <s v="Customer 248"/>
        <s v="Customer 249"/>
        <s v="Customer 250"/>
        <s v="Customer 251"/>
        <s v="Customer 252"/>
        <s v="Customer 253"/>
        <s v="Customer 254"/>
        <s v="Customer 255"/>
        <s v="Customer 256"/>
        <s v="Customer 257"/>
        <s v="Customer 258"/>
        <s v="Customer 259"/>
        <s v="Customer 260"/>
        <s v="Customer 261"/>
        <s v="Customer 262"/>
        <s v="Customer 263"/>
        <s v="Customer 264"/>
        <s v="Customer 265"/>
        <s v="Customer 266"/>
        <s v="Customer 267"/>
        <s v="Customer 268"/>
        <s v="Customer 269"/>
        <s v="Customer 270"/>
        <s v="Customer 271"/>
        <s v="Customer 272"/>
        <s v="Customer 273"/>
        <s v="Customer 274"/>
        <s v="Customer 275"/>
        <s v="Customer 276"/>
        <s v="Customer 277"/>
        <s v="Customer 278"/>
        <s v="Customer 279"/>
        <s v="Customer 280"/>
        <s v="Customer 281"/>
        <s v="Customer 282"/>
        <s v="Customer 283"/>
        <s v="Customer 284"/>
        <s v="Customer 285"/>
        <s v="Customer 286"/>
        <s v="Customer 287"/>
        <s v="Customer 288"/>
        <s v="Customer 289"/>
        <s v="Customer 290"/>
        <s v="Customer 291"/>
        <s v="Customer 292"/>
        <s v="Customer 293"/>
        <s v="Customer 294"/>
        <s v="Customer 295"/>
        <s v="Customer 296"/>
        <s v="Customer 297"/>
        <s v="Customer 298"/>
        <s v="Customer 299"/>
        <s v="Customer 300"/>
        <s v="Customer 301"/>
        <s v="Customer 302"/>
        <s v="Customer 303"/>
        <s v="Customer 304"/>
        <s v="Customer 305"/>
        <s v="Customer 306"/>
        <s v="Customer 307"/>
        <s v="Customer 308"/>
        <s v="Customer 309"/>
        <s v="Customer 310"/>
        <s v="Customer 311"/>
        <s v="Customer 312"/>
        <s v="Customer 313"/>
        <s v="Customer 314"/>
        <s v="Customer 315"/>
        <s v="Customer 316"/>
        <s v="Customer 317"/>
        <s v="Customer 318"/>
        <s v="Customer 319"/>
        <s v="Customer 320"/>
        <s v="Customer 321"/>
        <s v="Customer 322"/>
        <s v="Customer 323"/>
        <s v="Customer 324"/>
        <s v="Customer 325"/>
        <s v="Customer 326"/>
        <s v="Customer 327"/>
        <s v="Customer 328"/>
        <s v="Customer 329"/>
        <s v="Customer 330"/>
        <s v="Customer 331"/>
        <s v="Customer 332"/>
        <s v="Customer 333"/>
        <s v="Customer 334"/>
        <s v="Customer 335"/>
        <s v="Customer 336"/>
        <s v="Customer 337"/>
        <s v="Customer 338"/>
        <s v="Customer 339"/>
        <s v="Customer 340"/>
        <s v="Customer 341"/>
        <s v="Customer 342"/>
        <s v="Customer 343"/>
        <s v="Customer 344"/>
        <s v="Customer 345"/>
        <s v="Customer 346"/>
        <s v="Customer 347"/>
        <s v="Customer 348"/>
        <s v="Customer 349"/>
        <s v="Customer 350"/>
        <s v="Customer 351"/>
        <s v="Customer 352"/>
        <s v="Customer 353"/>
        <s v="Customer 354"/>
        <s v="Customer 355"/>
        <s v="Customer 356"/>
        <s v="Customer 357"/>
        <s v="Customer 358"/>
        <s v="Customer 359"/>
        <s v="Customer 360"/>
        <s v="Customer 361"/>
        <s v="Customer 362"/>
        <s v="Customer 363"/>
        <s v="Customer 364"/>
        <s v="Customer 365"/>
        <s v="Customer 366"/>
        <s v="Customer 367"/>
        <s v="Customer 368"/>
        <s v="Customer 369"/>
        <s v="Customer 370"/>
        <s v="Customer 371"/>
        <s v="Customer 372"/>
        <s v="Customer 373"/>
        <s v="Customer 374"/>
        <s v="Customer 375"/>
        <s v="Customer 376"/>
        <s v="Customer 377"/>
        <s v="Customer 378"/>
        <s v="Customer 379"/>
        <s v="Customer 380"/>
        <s v="Customer 381"/>
        <s v="Customer 382"/>
        <s v="Customer 383"/>
        <s v="Customer 384"/>
        <s v="Customer 385"/>
        <s v="Customer 386"/>
        <s v="Customer 387"/>
        <s v="Customer 388"/>
        <s v="Customer 389"/>
        <s v="Customer 390"/>
        <s v="Customer 391"/>
        <s v="Customer 392"/>
        <s v="Customer 393"/>
        <s v="Customer 394"/>
        <s v="Customer 395"/>
        <s v="Customer 396"/>
        <s v="Customer 397"/>
        <s v="Customer 398"/>
        <s v="Customer 399"/>
        <s v="Customer 400"/>
        <s v="Customer 401"/>
        <s v="Customer 402"/>
        <s v="Customer 403"/>
        <s v="Customer 404"/>
        <s v="Customer 405"/>
        <s v="Customer 406"/>
        <s v="Customer 407"/>
        <s v="Customer 408"/>
        <s v="Customer 409"/>
        <s v="Customer 410"/>
        <s v="Customer 411"/>
        <s v="Customer 412"/>
        <s v="Customer 413"/>
        <s v="Customer 414"/>
        <s v="Customer 415"/>
        <s v="Customer 416"/>
        <s v="Customer 417"/>
        <s v="Customer 418"/>
        <s v="Customer 419"/>
        <s v="Customer 420"/>
        <s v="Customer 421"/>
        <s v="Customer 422"/>
        <s v="Customer 423"/>
        <s v="Customer 424"/>
        <s v="Customer 425"/>
        <s v="Customer 426"/>
        <s v="Customer 427"/>
        <s v="Customer 428"/>
        <s v="Customer 429"/>
        <s v="Customer 430"/>
        <s v="Customer 431"/>
        <s v="Customer 432"/>
        <s v="Customer 433"/>
        <s v="Customer 434"/>
        <s v="Customer 435"/>
        <s v="Customer 436"/>
        <s v="Customer 437"/>
        <s v="Customer 438"/>
        <s v="Customer 439"/>
        <s v="Customer 440"/>
        <s v="Customer 441"/>
        <s v="Customer 442"/>
        <s v="Customer 443"/>
        <s v="Customer 444"/>
        <s v="Customer 445"/>
        <s v="Customer 446"/>
        <s v="Customer 447"/>
        <s v="Customer 448"/>
        <s v="Customer 449"/>
        <s v="Customer 450"/>
        <s v="Customer 451"/>
        <s v="Customer 452"/>
        <s v="Customer 453"/>
        <s v="Customer 454"/>
        <s v="Customer 455"/>
        <s v="Customer 456"/>
        <s v="Customer 457"/>
        <s v="Customer 458"/>
        <s v="Customer 459"/>
        <s v="Customer 460"/>
        <s v="Customer 461"/>
        <s v="Customer 462"/>
        <s v="Customer 463"/>
        <s v="Customer 464"/>
        <s v="Customer 465"/>
        <s v="Customer 466"/>
        <s v="Customer 467"/>
        <s v="Customer 468"/>
        <s v="Customer 469"/>
        <s v="Customer 470"/>
        <s v="Customer 471"/>
        <s v="Customer 472"/>
        <s v="Customer 473"/>
        <s v="Customer 474"/>
        <s v="Customer 475"/>
        <s v="Customer 476"/>
        <s v="Customer 477"/>
        <s v="Customer 478"/>
        <s v="Customer 479"/>
        <s v="Customer 480"/>
        <s v="Customer 481"/>
        <s v="Customer 482"/>
        <s v="Customer 483"/>
        <s v="Customer 484"/>
        <s v="Customer 485"/>
        <s v="Customer 486"/>
        <s v="Customer 487"/>
        <s v="Customer 488"/>
        <s v="Customer 489"/>
        <s v="Customer 490"/>
        <s v="Customer 491"/>
        <s v="Customer 492"/>
        <s v="Customer 493"/>
        <s v="Customer 494"/>
        <s v="Customer 495"/>
        <s v="Customer 496"/>
        <s v="Customer 497"/>
        <s v="Customer 498"/>
        <s v="Customer 499"/>
        <s v="Customer 500"/>
      </sharedItems>
    </cacheField>
    <cacheField name="Region" numFmtId="0">
      <sharedItems count="4">
        <s v="West"/>
        <s v="North"/>
        <s v="South"/>
        <s v="East"/>
      </sharedItems>
    </cacheField>
    <cacheField name="Product Category" numFmtId="0">
      <sharedItems count="4">
        <s v="Furniture"/>
        <s v="Groceries"/>
        <s v="Clothing"/>
        <s v="Electronics"/>
      </sharedItems>
    </cacheField>
    <cacheField name="Product Name" numFmtId="0">
      <sharedItems/>
    </cacheField>
    <cacheField name="Quantity" numFmtId="0">
      <sharedItems containsSemiMixedTypes="0" containsString="0" containsNumber="1" containsInteger="1" minValue="1" maxValue="20"/>
    </cacheField>
    <cacheField name="Unit Price" numFmtId="0">
      <sharedItems containsSemiMixedTypes="0" containsString="0" containsNumber="1" containsInteger="1" minValue="100" maxValue="1991"/>
    </cacheField>
    <cacheField name="Total Sales" numFmtId="0">
      <sharedItems containsSemiMixedTypes="0" containsString="0" containsNumber="1" containsInteger="1" minValue="124" maxValue="37400"/>
    </cacheField>
    <cacheField name="Payment Mode" numFmtId="0">
      <sharedItems count="4">
        <s v="Credit Card"/>
        <s v="Debit Card"/>
        <s v="UPI"/>
        <s v="Cash"/>
      </sharedItems>
    </cacheField>
    <cacheField name="Salesperson" numFmtId="0">
      <sharedItems count="7">
        <s v="Vibek"/>
        <s v="John"/>
        <s v="Rahul"/>
        <s v="Nisha"/>
        <s v="Amit"/>
        <s v="Sneha"/>
        <s v="Priya"/>
      </sharedItems>
    </cacheField>
  </cacheFields>
  <extLst>
    <ext xmlns:x14="http://schemas.microsoft.com/office/spreadsheetml/2009/9/main" uri="{725AE2AE-9491-48be-B2B4-4EB974FC3084}">
      <x14:pivotCacheDefinition pivotCacheId="1112506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s v="Bed"/>
    <n v="15"/>
    <n v="884"/>
    <n v="13260"/>
    <x v="0"/>
    <x v="0"/>
  </r>
  <r>
    <x v="1"/>
    <x v="1"/>
    <x v="1"/>
    <x v="1"/>
    <x v="0"/>
    <s v="Table"/>
    <n v="11"/>
    <n v="558"/>
    <n v="6138"/>
    <x v="0"/>
    <x v="1"/>
  </r>
  <r>
    <x v="2"/>
    <x v="2"/>
    <x v="2"/>
    <x v="0"/>
    <x v="1"/>
    <s v="Eggs"/>
    <n v="11"/>
    <n v="1623"/>
    <n v="17853"/>
    <x v="1"/>
    <x v="1"/>
  </r>
  <r>
    <x v="3"/>
    <x v="3"/>
    <x v="3"/>
    <x v="0"/>
    <x v="2"/>
    <s v="Shirt"/>
    <n v="4"/>
    <n v="1818"/>
    <n v="7272"/>
    <x v="2"/>
    <x v="0"/>
  </r>
  <r>
    <x v="4"/>
    <x v="4"/>
    <x v="4"/>
    <x v="2"/>
    <x v="1"/>
    <s v="Rice"/>
    <n v="13"/>
    <n v="126"/>
    <n v="1638"/>
    <x v="2"/>
    <x v="2"/>
  </r>
  <r>
    <x v="5"/>
    <x v="5"/>
    <x v="5"/>
    <x v="3"/>
    <x v="2"/>
    <s v="Jeans"/>
    <n v="4"/>
    <n v="492"/>
    <n v="1968"/>
    <x v="2"/>
    <x v="3"/>
  </r>
  <r>
    <x v="6"/>
    <x v="6"/>
    <x v="6"/>
    <x v="0"/>
    <x v="1"/>
    <s v="Milk"/>
    <n v="9"/>
    <n v="1418"/>
    <n v="12762"/>
    <x v="1"/>
    <x v="4"/>
  </r>
  <r>
    <x v="7"/>
    <x v="7"/>
    <x v="7"/>
    <x v="3"/>
    <x v="3"/>
    <s v="Laptop"/>
    <n v="14"/>
    <n v="1228"/>
    <n v="17192"/>
    <x v="0"/>
    <x v="3"/>
  </r>
  <r>
    <x v="8"/>
    <x v="8"/>
    <x v="8"/>
    <x v="0"/>
    <x v="0"/>
    <s v="Table"/>
    <n v="12"/>
    <n v="1497"/>
    <n v="17964"/>
    <x v="3"/>
    <x v="1"/>
  </r>
  <r>
    <x v="9"/>
    <x v="9"/>
    <x v="9"/>
    <x v="0"/>
    <x v="0"/>
    <s v="Chair"/>
    <n v="3"/>
    <n v="1483"/>
    <n v="4449"/>
    <x v="3"/>
    <x v="2"/>
  </r>
  <r>
    <x v="10"/>
    <x v="10"/>
    <x v="10"/>
    <x v="3"/>
    <x v="1"/>
    <s v="Rice"/>
    <n v="7"/>
    <n v="1701"/>
    <n v="11907"/>
    <x v="0"/>
    <x v="5"/>
  </r>
  <r>
    <x v="11"/>
    <x v="11"/>
    <x v="11"/>
    <x v="0"/>
    <x v="2"/>
    <s v="Jeans"/>
    <n v="1"/>
    <n v="436"/>
    <n v="436"/>
    <x v="3"/>
    <x v="4"/>
  </r>
  <r>
    <x v="12"/>
    <x v="12"/>
    <x v="12"/>
    <x v="1"/>
    <x v="1"/>
    <s v="Milk"/>
    <n v="20"/>
    <n v="369"/>
    <n v="7380"/>
    <x v="2"/>
    <x v="6"/>
  </r>
  <r>
    <x v="13"/>
    <x v="13"/>
    <x v="13"/>
    <x v="0"/>
    <x v="0"/>
    <s v="Table"/>
    <n v="8"/>
    <n v="1456"/>
    <n v="11648"/>
    <x v="1"/>
    <x v="2"/>
  </r>
  <r>
    <x v="14"/>
    <x v="14"/>
    <x v="14"/>
    <x v="2"/>
    <x v="2"/>
    <s v="Jacket"/>
    <n v="9"/>
    <n v="1193"/>
    <n v="10737"/>
    <x v="0"/>
    <x v="2"/>
  </r>
  <r>
    <x v="15"/>
    <x v="15"/>
    <x v="15"/>
    <x v="0"/>
    <x v="0"/>
    <s v="Table"/>
    <n v="12"/>
    <n v="1473"/>
    <n v="17676"/>
    <x v="3"/>
    <x v="4"/>
  </r>
  <r>
    <x v="16"/>
    <x v="16"/>
    <x v="16"/>
    <x v="2"/>
    <x v="0"/>
    <s v="Bed"/>
    <n v="11"/>
    <n v="408"/>
    <n v="4488"/>
    <x v="3"/>
    <x v="6"/>
  </r>
  <r>
    <x v="17"/>
    <x v="17"/>
    <x v="17"/>
    <x v="3"/>
    <x v="3"/>
    <s v="Laptop"/>
    <n v="17"/>
    <n v="742"/>
    <n v="12614"/>
    <x v="1"/>
    <x v="4"/>
  </r>
  <r>
    <x v="18"/>
    <x v="18"/>
    <x v="18"/>
    <x v="0"/>
    <x v="0"/>
    <s v="Bed"/>
    <n v="20"/>
    <n v="592"/>
    <n v="11840"/>
    <x v="0"/>
    <x v="2"/>
  </r>
  <r>
    <x v="19"/>
    <x v="19"/>
    <x v="19"/>
    <x v="1"/>
    <x v="1"/>
    <s v="Eggs"/>
    <n v="2"/>
    <n v="327"/>
    <n v="654"/>
    <x v="0"/>
    <x v="6"/>
  </r>
  <r>
    <x v="20"/>
    <x v="20"/>
    <x v="20"/>
    <x v="2"/>
    <x v="0"/>
    <s v="Table"/>
    <n v="6"/>
    <n v="892"/>
    <n v="5352"/>
    <x v="2"/>
    <x v="0"/>
  </r>
  <r>
    <x v="21"/>
    <x v="21"/>
    <x v="21"/>
    <x v="3"/>
    <x v="3"/>
    <s v="Mobile"/>
    <n v="13"/>
    <n v="448"/>
    <n v="5824"/>
    <x v="1"/>
    <x v="2"/>
  </r>
  <r>
    <x v="22"/>
    <x v="11"/>
    <x v="22"/>
    <x v="3"/>
    <x v="2"/>
    <s v="Jacket"/>
    <n v="13"/>
    <n v="1792"/>
    <n v="23296"/>
    <x v="3"/>
    <x v="0"/>
  </r>
  <r>
    <x v="23"/>
    <x v="22"/>
    <x v="23"/>
    <x v="2"/>
    <x v="2"/>
    <s v="Shoes"/>
    <n v="9"/>
    <n v="1506"/>
    <n v="13554"/>
    <x v="3"/>
    <x v="1"/>
  </r>
  <r>
    <x v="24"/>
    <x v="23"/>
    <x v="24"/>
    <x v="2"/>
    <x v="1"/>
    <s v="Eggs"/>
    <n v="15"/>
    <n v="291"/>
    <n v="4365"/>
    <x v="0"/>
    <x v="3"/>
  </r>
  <r>
    <x v="25"/>
    <x v="24"/>
    <x v="25"/>
    <x v="0"/>
    <x v="1"/>
    <s v="Bread"/>
    <n v="5"/>
    <n v="1820"/>
    <n v="9100"/>
    <x v="2"/>
    <x v="2"/>
  </r>
  <r>
    <x v="26"/>
    <x v="25"/>
    <x v="26"/>
    <x v="0"/>
    <x v="0"/>
    <s v="Chair"/>
    <n v="5"/>
    <n v="1152"/>
    <n v="5760"/>
    <x v="2"/>
    <x v="5"/>
  </r>
  <r>
    <x v="27"/>
    <x v="26"/>
    <x v="27"/>
    <x v="1"/>
    <x v="1"/>
    <s v="Milk"/>
    <n v="20"/>
    <n v="1313"/>
    <n v="26260"/>
    <x v="3"/>
    <x v="6"/>
  </r>
  <r>
    <x v="28"/>
    <x v="27"/>
    <x v="28"/>
    <x v="3"/>
    <x v="1"/>
    <s v="Rice"/>
    <n v="13"/>
    <n v="281"/>
    <n v="3653"/>
    <x v="0"/>
    <x v="0"/>
  </r>
  <r>
    <x v="29"/>
    <x v="28"/>
    <x v="29"/>
    <x v="1"/>
    <x v="2"/>
    <s v="Shoes"/>
    <n v="3"/>
    <n v="957"/>
    <n v="2871"/>
    <x v="3"/>
    <x v="2"/>
  </r>
  <r>
    <x v="30"/>
    <x v="29"/>
    <x v="30"/>
    <x v="1"/>
    <x v="3"/>
    <s v="Headphones"/>
    <n v="19"/>
    <n v="921"/>
    <n v="17499"/>
    <x v="3"/>
    <x v="2"/>
  </r>
  <r>
    <x v="31"/>
    <x v="30"/>
    <x v="31"/>
    <x v="3"/>
    <x v="3"/>
    <s v="Camera"/>
    <n v="12"/>
    <n v="283"/>
    <n v="3396"/>
    <x v="1"/>
    <x v="2"/>
  </r>
  <r>
    <x v="32"/>
    <x v="31"/>
    <x v="32"/>
    <x v="0"/>
    <x v="1"/>
    <s v="Bread"/>
    <n v="16"/>
    <n v="1678"/>
    <n v="26848"/>
    <x v="0"/>
    <x v="5"/>
  </r>
  <r>
    <x v="33"/>
    <x v="31"/>
    <x v="33"/>
    <x v="1"/>
    <x v="1"/>
    <s v="Rice"/>
    <n v="14"/>
    <n v="1348"/>
    <n v="18872"/>
    <x v="3"/>
    <x v="6"/>
  </r>
  <r>
    <x v="34"/>
    <x v="32"/>
    <x v="34"/>
    <x v="1"/>
    <x v="2"/>
    <s v="Jacket"/>
    <n v="11"/>
    <n v="663"/>
    <n v="7293"/>
    <x v="0"/>
    <x v="2"/>
  </r>
  <r>
    <x v="35"/>
    <x v="33"/>
    <x v="35"/>
    <x v="3"/>
    <x v="1"/>
    <s v="Milk"/>
    <n v="18"/>
    <n v="598"/>
    <n v="10764"/>
    <x v="2"/>
    <x v="4"/>
  </r>
  <r>
    <x v="36"/>
    <x v="34"/>
    <x v="36"/>
    <x v="3"/>
    <x v="0"/>
    <s v="Sofa"/>
    <n v="8"/>
    <n v="1001"/>
    <n v="8008"/>
    <x v="2"/>
    <x v="1"/>
  </r>
  <r>
    <x v="37"/>
    <x v="35"/>
    <x v="37"/>
    <x v="3"/>
    <x v="1"/>
    <s v="Eggs"/>
    <n v="12"/>
    <n v="1723"/>
    <n v="20676"/>
    <x v="0"/>
    <x v="3"/>
  </r>
  <r>
    <x v="38"/>
    <x v="36"/>
    <x v="38"/>
    <x v="1"/>
    <x v="0"/>
    <s v="Table"/>
    <n v="11"/>
    <n v="1948"/>
    <n v="21428"/>
    <x v="0"/>
    <x v="1"/>
  </r>
  <r>
    <x v="39"/>
    <x v="37"/>
    <x v="39"/>
    <x v="2"/>
    <x v="1"/>
    <s v="Bread"/>
    <n v="6"/>
    <n v="1775"/>
    <n v="10650"/>
    <x v="3"/>
    <x v="4"/>
  </r>
  <r>
    <x v="40"/>
    <x v="38"/>
    <x v="40"/>
    <x v="3"/>
    <x v="2"/>
    <s v="Jacket"/>
    <n v="17"/>
    <n v="1712"/>
    <n v="29104"/>
    <x v="3"/>
    <x v="3"/>
  </r>
  <r>
    <x v="41"/>
    <x v="39"/>
    <x v="41"/>
    <x v="1"/>
    <x v="3"/>
    <s v="Laptop"/>
    <n v="12"/>
    <n v="464"/>
    <n v="5568"/>
    <x v="3"/>
    <x v="6"/>
  </r>
  <r>
    <x v="42"/>
    <x v="40"/>
    <x v="42"/>
    <x v="2"/>
    <x v="2"/>
    <s v="Shoes"/>
    <n v="8"/>
    <n v="735"/>
    <n v="5880"/>
    <x v="2"/>
    <x v="4"/>
  </r>
  <r>
    <x v="43"/>
    <x v="41"/>
    <x v="43"/>
    <x v="0"/>
    <x v="2"/>
    <s v="Shirt"/>
    <n v="17"/>
    <n v="312"/>
    <n v="5304"/>
    <x v="2"/>
    <x v="6"/>
  </r>
  <r>
    <x v="44"/>
    <x v="37"/>
    <x v="44"/>
    <x v="3"/>
    <x v="0"/>
    <s v="Bed"/>
    <n v="11"/>
    <n v="154"/>
    <n v="1694"/>
    <x v="2"/>
    <x v="3"/>
  </r>
  <r>
    <x v="45"/>
    <x v="42"/>
    <x v="45"/>
    <x v="3"/>
    <x v="1"/>
    <s v="Rice"/>
    <n v="1"/>
    <n v="1178"/>
    <n v="1178"/>
    <x v="1"/>
    <x v="3"/>
  </r>
  <r>
    <x v="46"/>
    <x v="18"/>
    <x v="46"/>
    <x v="2"/>
    <x v="2"/>
    <s v="Shirt"/>
    <n v="7"/>
    <n v="883"/>
    <n v="6181"/>
    <x v="2"/>
    <x v="3"/>
  </r>
  <r>
    <x v="47"/>
    <x v="43"/>
    <x v="47"/>
    <x v="1"/>
    <x v="0"/>
    <s v="Sofa"/>
    <n v="10"/>
    <n v="1070"/>
    <n v="10700"/>
    <x v="2"/>
    <x v="5"/>
  </r>
  <r>
    <x v="48"/>
    <x v="2"/>
    <x v="48"/>
    <x v="3"/>
    <x v="2"/>
    <s v="Jeans"/>
    <n v="8"/>
    <n v="1532"/>
    <n v="12256"/>
    <x v="2"/>
    <x v="0"/>
  </r>
  <r>
    <x v="49"/>
    <x v="44"/>
    <x v="49"/>
    <x v="2"/>
    <x v="2"/>
    <s v="Shirt"/>
    <n v="14"/>
    <n v="658"/>
    <n v="9212"/>
    <x v="0"/>
    <x v="3"/>
  </r>
  <r>
    <x v="50"/>
    <x v="31"/>
    <x v="50"/>
    <x v="1"/>
    <x v="0"/>
    <s v="Chair"/>
    <n v="9"/>
    <n v="907"/>
    <n v="8163"/>
    <x v="0"/>
    <x v="6"/>
  </r>
  <r>
    <x v="51"/>
    <x v="23"/>
    <x v="51"/>
    <x v="1"/>
    <x v="3"/>
    <s v="Mobile"/>
    <n v="12"/>
    <n v="188"/>
    <n v="2256"/>
    <x v="1"/>
    <x v="6"/>
  </r>
  <r>
    <x v="52"/>
    <x v="45"/>
    <x v="52"/>
    <x v="3"/>
    <x v="0"/>
    <s v="Sofa"/>
    <n v="7"/>
    <n v="853"/>
    <n v="5971"/>
    <x v="1"/>
    <x v="5"/>
  </r>
  <r>
    <x v="53"/>
    <x v="28"/>
    <x v="53"/>
    <x v="3"/>
    <x v="1"/>
    <s v="Eggs"/>
    <n v="17"/>
    <n v="1292"/>
    <n v="21964"/>
    <x v="0"/>
    <x v="5"/>
  </r>
  <r>
    <x v="54"/>
    <x v="46"/>
    <x v="54"/>
    <x v="1"/>
    <x v="3"/>
    <s v="Headphones"/>
    <n v="15"/>
    <n v="1731"/>
    <n v="25965"/>
    <x v="3"/>
    <x v="1"/>
  </r>
  <r>
    <x v="55"/>
    <x v="47"/>
    <x v="55"/>
    <x v="1"/>
    <x v="1"/>
    <s v="Eggs"/>
    <n v="13"/>
    <n v="885"/>
    <n v="11505"/>
    <x v="2"/>
    <x v="0"/>
  </r>
  <r>
    <x v="56"/>
    <x v="23"/>
    <x v="56"/>
    <x v="1"/>
    <x v="0"/>
    <s v="Bed"/>
    <n v="12"/>
    <n v="1417"/>
    <n v="17004"/>
    <x v="2"/>
    <x v="4"/>
  </r>
  <r>
    <x v="57"/>
    <x v="6"/>
    <x v="57"/>
    <x v="0"/>
    <x v="3"/>
    <s v="Laptop"/>
    <n v="3"/>
    <n v="489"/>
    <n v="1467"/>
    <x v="2"/>
    <x v="4"/>
  </r>
  <r>
    <x v="58"/>
    <x v="48"/>
    <x v="58"/>
    <x v="3"/>
    <x v="2"/>
    <s v="Jeans"/>
    <n v="15"/>
    <n v="1646"/>
    <n v="24690"/>
    <x v="0"/>
    <x v="1"/>
  </r>
  <r>
    <x v="59"/>
    <x v="49"/>
    <x v="59"/>
    <x v="0"/>
    <x v="1"/>
    <s v="Eggs"/>
    <n v="6"/>
    <n v="1744"/>
    <n v="10464"/>
    <x v="3"/>
    <x v="3"/>
  </r>
  <r>
    <x v="60"/>
    <x v="50"/>
    <x v="60"/>
    <x v="1"/>
    <x v="1"/>
    <s v="Eggs"/>
    <n v="14"/>
    <n v="1540"/>
    <n v="21560"/>
    <x v="0"/>
    <x v="5"/>
  </r>
  <r>
    <x v="61"/>
    <x v="51"/>
    <x v="61"/>
    <x v="3"/>
    <x v="0"/>
    <s v="Bed"/>
    <n v="5"/>
    <n v="1252"/>
    <n v="6260"/>
    <x v="0"/>
    <x v="5"/>
  </r>
  <r>
    <x v="62"/>
    <x v="52"/>
    <x v="62"/>
    <x v="1"/>
    <x v="2"/>
    <s v="Jeans"/>
    <n v="16"/>
    <n v="1668"/>
    <n v="26688"/>
    <x v="2"/>
    <x v="1"/>
  </r>
  <r>
    <x v="63"/>
    <x v="53"/>
    <x v="63"/>
    <x v="0"/>
    <x v="2"/>
    <s v="Shirt"/>
    <n v="2"/>
    <n v="1077"/>
    <n v="2154"/>
    <x v="1"/>
    <x v="6"/>
  </r>
  <r>
    <x v="64"/>
    <x v="54"/>
    <x v="64"/>
    <x v="3"/>
    <x v="2"/>
    <s v="Shirt"/>
    <n v="17"/>
    <n v="376"/>
    <n v="6392"/>
    <x v="1"/>
    <x v="3"/>
  </r>
  <r>
    <x v="65"/>
    <x v="55"/>
    <x v="65"/>
    <x v="0"/>
    <x v="3"/>
    <s v="Headphones"/>
    <n v="6"/>
    <n v="453"/>
    <n v="2718"/>
    <x v="3"/>
    <x v="6"/>
  </r>
  <r>
    <x v="66"/>
    <x v="56"/>
    <x v="66"/>
    <x v="0"/>
    <x v="1"/>
    <s v="Milk"/>
    <n v="5"/>
    <n v="1554"/>
    <n v="7770"/>
    <x v="2"/>
    <x v="0"/>
  </r>
  <r>
    <x v="67"/>
    <x v="57"/>
    <x v="67"/>
    <x v="0"/>
    <x v="3"/>
    <s v="Camera"/>
    <n v="15"/>
    <n v="1915"/>
    <n v="28725"/>
    <x v="2"/>
    <x v="1"/>
  </r>
  <r>
    <x v="68"/>
    <x v="58"/>
    <x v="68"/>
    <x v="1"/>
    <x v="1"/>
    <s v="Milk"/>
    <n v="13"/>
    <n v="596"/>
    <n v="7748"/>
    <x v="1"/>
    <x v="2"/>
  </r>
  <r>
    <x v="69"/>
    <x v="59"/>
    <x v="69"/>
    <x v="2"/>
    <x v="0"/>
    <s v="Sofa"/>
    <n v="2"/>
    <n v="883"/>
    <n v="1766"/>
    <x v="3"/>
    <x v="0"/>
  </r>
  <r>
    <x v="70"/>
    <x v="60"/>
    <x v="70"/>
    <x v="1"/>
    <x v="1"/>
    <s v="Bread"/>
    <n v="16"/>
    <n v="1466"/>
    <n v="23456"/>
    <x v="2"/>
    <x v="0"/>
  </r>
  <r>
    <x v="71"/>
    <x v="61"/>
    <x v="71"/>
    <x v="2"/>
    <x v="0"/>
    <s v="Sofa"/>
    <n v="14"/>
    <n v="734"/>
    <n v="10276"/>
    <x v="2"/>
    <x v="4"/>
  </r>
  <r>
    <x v="72"/>
    <x v="62"/>
    <x v="72"/>
    <x v="3"/>
    <x v="0"/>
    <s v="Chair"/>
    <n v="3"/>
    <n v="412"/>
    <n v="1236"/>
    <x v="0"/>
    <x v="3"/>
  </r>
  <r>
    <x v="73"/>
    <x v="33"/>
    <x v="73"/>
    <x v="1"/>
    <x v="2"/>
    <s v="Shirt"/>
    <n v="1"/>
    <n v="544"/>
    <n v="544"/>
    <x v="3"/>
    <x v="6"/>
  </r>
  <r>
    <x v="74"/>
    <x v="63"/>
    <x v="74"/>
    <x v="1"/>
    <x v="2"/>
    <s v="Shirt"/>
    <n v="14"/>
    <n v="1392"/>
    <n v="19488"/>
    <x v="1"/>
    <x v="1"/>
  </r>
  <r>
    <x v="75"/>
    <x v="64"/>
    <x v="75"/>
    <x v="2"/>
    <x v="1"/>
    <s v="Bread"/>
    <n v="2"/>
    <n v="1856"/>
    <n v="3712"/>
    <x v="1"/>
    <x v="5"/>
  </r>
  <r>
    <x v="76"/>
    <x v="65"/>
    <x v="76"/>
    <x v="0"/>
    <x v="2"/>
    <s v="Jeans"/>
    <n v="2"/>
    <n v="819"/>
    <n v="1638"/>
    <x v="0"/>
    <x v="5"/>
  </r>
  <r>
    <x v="77"/>
    <x v="66"/>
    <x v="77"/>
    <x v="1"/>
    <x v="1"/>
    <s v="Eggs"/>
    <n v="13"/>
    <n v="340"/>
    <n v="4420"/>
    <x v="3"/>
    <x v="1"/>
  </r>
  <r>
    <x v="78"/>
    <x v="48"/>
    <x v="78"/>
    <x v="3"/>
    <x v="1"/>
    <s v="Bread"/>
    <n v="9"/>
    <n v="424"/>
    <n v="3816"/>
    <x v="2"/>
    <x v="5"/>
  </r>
  <r>
    <x v="79"/>
    <x v="67"/>
    <x v="79"/>
    <x v="3"/>
    <x v="2"/>
    <s v="Shoes"/>
    <n v="5"/>
    <n v="391"/>
    <n v="1955"/>
    <x v="2"/>
    <x v="3"/>
  </r>
  <r>
    <x v="80"/>
    <x v="68"/>
    <x v="80"/>
    <x v="1"/>
    <x v="0"/>
    <s v="Table"/>
    <n v="8"/>
    <n v="1088"/>
    <n v="8704"/>
    <x v="1"/>
    <x v="0"/>
  </r>
  <r>
    <x v="81"/>
    <x v="69"/>
    <x v="81"/>
    <x v="1"/>
    <x v="2"/>
    <s v="Jacket"/>
    <n v="4"/>
    <n v="829"/>
    <n v="3316"/>
    <x v="1"/>
    <x v="6"/>
  </r>
  <r>
    <x v="82"/>
    <x v="6"/>
    <x v="82"/>
    <x v="2"/>
    <x v="3"/>
    <s v="Camera"/>
    <n v="8"/>
    <n v="890"/>
    <n v="7120"/>
    <x v="0"/>
    <x v="2"/>
  </r>
  <r>
    <x v="83"/>
    <x v="49"/>
    <x v="83"/>
    <x v="2"/>
    <x v="3"/>
    <s v="Camera"/>
    <n v="14"/>
    <n v="798"/>
    <n v="11172"/>
    <x v="2"/>
    <x v="3"/>
  </r>
  <r>
    <x v="84"/>
    <x v="70"/>
    <x v="84"/>
    <x v="3"/>
    <x v="0"/>
    <s v="Chair"/>
    <n v="11"/>
    <n v="548"/>
    <n v="6028"/>
    <x v="0"/>
    <x v="5"/>
  </r>
  <r>
    <x v="85"/>
    <x v="71"/>
    <x v="85"/>
    <x v="0"/>
    <x v="0"/>
    <s v="Chair"/>
    <n v="1"/>
    <n v="612"/>
    <n v="612"/>
    <x v="2"/>
    <x v="4"/>
  </r>
  <r>
    <x v="86"/>
    <x v="72"/>
    <x v="86"/>
    <x v="1"/>
    <x v="1"/>
    <s v="Bread"/>
    <n v="14"/>
    <n v="927"/>
    <n v="12978"/>
    <x v="0"/>
    <x v="4"/>
  </r>
  <r>
    <x v="87"/>
    <x v="73"/>
    <x v="87"/>
    <x v="3"/>
    <x v="3"/>
    <s v="Camera"/>
    <n v="16"/>
    <n v="204"/>
    <n v="3264"/>
    <x v="3"/>
    <x v="4"/>
  </r>
  <r>
    <x v="88"/>
    <x v="0"/>
    <x v="88"/>
    <x v="3"/>
    <x v="2"/>
    <s v="Shoes"/>
    <n v="15"/>
    <n v="1330"/>
    <n v="19950"/>
    <x v="0"/>
    <x v="4"/>
  </r>
  <r>
    <x v="89"/>
    <x v="74"/>
    <x v="89"/>
    <x v="1"/>
    <x v="1"/>
    <s v="Milk"/>
    <n v="2"/>
    <n v="1939"/>
    <n v="3878"/>
    <x v="0"/>
    <x v="1"/>
  </r>
  <r>
    <x v="90"/>
    <x v="75"/>
    <x v="90"/>
    <x v="0"/>
    <x v="2"/>
    <s v="Shirt"/>
    <n v="17"/>
    <n v="235"/>
    <n v="3995"/>
    <x v="3"/>
    <x v="0"/>
  </r>
  <r>
    <x v="91"/>
    <x v="76"/>
    <x v="91"/>
    <x v="2"/>
    <x v="1"/>
    <s v="Rice"/>
    <n v="2"/>
    <n v="929"/>
    <n v="1858"/>
    <x v="2"/>
    <x v="5"/>
  </r>
  <r>
    <x v="92"/>
    <x v="77"/>
    <x v="92"/>
    <x v="0"/>
    <x v="0"/>
    <s v="Bed"/>
    <n v="7"/>
    <n v="1250"/>
    <n v="8750"/>
    <x v="0"/>
    <x v="4"/>
  </r>
  <r>
    <x v="93"/>
    <x v="78"/>
    <x v="93"/>
    <x v="3"/>
    <x v="0"/>
    <s v="Bed"/>
    <n v="4"/>
    <n v="1738"/>
    <n v="6952"/>
    <x v="3"/>
    <x v="0"/>
  </r>
  <r>
    <x v="94"/>
    <x v="79"/>
    <x v="94"/>
    <x v="1"/>
    <x v="0"/>
    <s v="Bed"/>
    <n v="17"/>
    <n v="1760"/>
    <n v="29920"/>
    <x v="0"/>
    <x v="4"/>
  </r>
  <r>
    <x v="95"/>
    <x v="80"/>
    <x v="95"/>
    <x v="2"/>
    <x v="0"/>
    <s v="Chair"/>
    <n v="15"/>
    <n v="140"/>
    <n v="2100"/>
    <x v="1"/>
    <x v="6"/>
  </r>
  <r>
    <x v="96"/>
    <x v="43"/>
    <x v="96"/>
    <x v="3"/>
    <x v="1"/>
    <s v="Rice"/>
    <n v="14"/>
    <n v="839"/>
    <n v="11746"/>
    <x v="0"/>
    <x v="5"/>
  </r>
  <r>
    <x v="97"/>
    <x v="81"/>
    <x v="97"/>
    <x v="0"/>
    <x v="0"/>
    <s v="Sofa"/>
    <n v="9"/>
    <n v="1188"/>
    <n v="10692"/>
    <x v="2"/>
    <x v="5"/>
  </r>
  <r>
    <x v="98"/>
    <x v="82"/>
    <x v="98"/>
    <x v="2"/>
    <x v="0"/>
    <s v="Bed"/>
    <n v="3"/>
    <n v="1342"/>
    <n v="4026"/>
    <x v="3"/>
    <x v="4"/>
  </r>
  <r>
    <x v="99"/>
    <x v="25"/>
    <x v="99"/>
    <x v="3"/>
    <x v="2"/>
    <s v="Jacket"/>
    <n v="2"/>
    <n v="856"/>
    <n v="1712"/>
    <x v="3"/>
    <x v="2"/>
  </r>
  <r>
    <x v="100"/>
    <x v="49"/>
    <x v="100"/>
    <x v="3"/>
    <x v="0"/>
    <s v="Chair"/>
    <n v="8"/>
    <n v="1470"/>
    <n v="11760"/>
    <x v="2"/>
    <x v="5"/>
  </r>
  <r>
    <x v="101"/>
    <x v="57"/>
    <x v="101"/>
    <x v="1"/>
    <x v="3"/>
    <s v="Camera"/>
    <n v="8"/>
    <n v="1125"/>
    <n v="9000"/>
    <x v="0"/>
    <x v="6"/>
  </r>
  <r>
    <x v="102"/>
    <x v="83"/>
    <x v="102"/>
    <x v="2"/>
    <x v="3"/>
    <s v="Headphones"/>
    <n v="9"/>
    <n v="893"/>
    <n v="8037"/>
    <x v="3"/>
    <x v="3"/>
  </r>
  <r>
    <x v="103"/>
    <x v="84"/>
    <x v="103"/>
    <x v="2"/>
    <x v="2"/>
    <s v="Jeans"/>
    <n v="6"/>
    <n v="848"/>
    <n v="5088"/>
    <x v="3"/>
    <x v="2"/>
  </r>
  <r>
    <x v="104"/>
    <x v="85"/>
    <x v="104"/>
    <x v="0"/>
    <x v="2"/>
    <s v="Jeans"/>
    <n v="3"/>
    <n v="435"/>
    <n v="1305"/>
    <x v="2"/>
    <x v="5"/>
  </r>
  <r>
    <x v="105"/>
    <x v="86"/>
    <x v="105"/>
    <x v="1"/>
    <x v="1"/>
    <s v="Milk"/>
    <n v="18"/>
    <n v="229"/>
    <n v="4122"/>
    <x v="2"/>
    <x v="0"/>
  </r>
  <r>
    <x v="106"/>
    <x v="87"/>
    <x v="106"/>
    <x v="1"/>
    <x v="3"/>
    <s v="Headphones"/>
    <n v="20"/>
    <n v="1469"/>
    <n v="29380"/>
    <x v="3"/>
    <x v="6"/>
  </r>
  <r>
    <x v="107"/>
    <x v="88"/>
    <x v="107"/>
    <x v="0"/>
    <x v="3"/>
    <s v="Camera"/>
    <n v="16"/>
    <n v="1072"/>
    <n v="17152"/>
    <x v="0"/>
    <x v="2"/>
  </r>
  <r>
    <x v="108"/>
    <x v="89"/>
    <x v="108"/>
    <x v="1"/>
    <x v="1"/>
    <s v="Eggs"/>
    <n v="4"/>
    <n v="918"/>
    <n v="3672"/>
    <x v="0"/>
    <x v="4"/>
  </r>
  <r>
    <x v="109"/>
    <x v="90"/>
    <x v="109"/>
    <x v="2"/>
    <x v="0"/>
    <s v="Chair"/>
    <n v="12"/>
    <n v="330"/>
    <n v="3960"/>
    <x v="1"/>
    <x v="2"/>
  </r>
  <r>
    <x v="110"/>
    <x v="91"/>
    <x v="110"/>
    <x v="2"/>
    <x v="3"/>
    <s v="Camera"/>
    <n v="1"/>
    <n v="1430"/>
    <n v="1430"/>
    <x v="0"/>
    <x v="3"/>
  </r>
  <r>
    <x v="111"/>
    <x v="92"/>
    <x v="111"/>
    <x v="3"/>
    <x v="2"/>
    <s v="Jeans"/>
    <n v="20"/>
    <n v="228"/>
    <n v="4560"/>
    <x v="1"/>
    <x v="0"/>
  </r>
  <r>
    <x v="112"/>
    <x v="93"/>
    <x v="112"/>
    <x v="3"/>
    <x v="2"/>
    <s v="Jacket"/>
    <n v="12"/>
    <n v="998"/>
    <n v="11976"/>
    <x v="1"/>
    <x v="2"/>
  </r>
  <r>
    <x v="113"/>
    <x v="94"/>
    <x v="113"/>
    <x v="0"/>
    <x v="1"/>
    <s v="Eggs"/>
    <n v="1"/>
    <n v="1340"/>
    <n v="1340"/>
    <x v="3"/>
    <x v="4"/>
  </r>
  <r>
    <x v="114"/>
    <x v="95"/>
    <x v="114"/>
    <x v="1"/>
    <x v="3"/>
    <s v="Laptop"/>
    <n v="1"/>
    <n v="398"/>
    <n v="398"/>
    <x v="2"/>
    <x v="4"/>
  </r>
  <r>
    <x v="115"/>
    <x v="96"/>
    <x v="115"/>
    <x v="3"/>
    <x v="1"/>
    <s v="Milk"/>
    <n v="12"/>
    <n v="654"/>
    <n v="7848"/>
    <x v="0"/>
    <x v="5"/>
  </r>
  <r>
    <x v="116"/>
    <x v="97"/>
    <x v="116"/>
    <x v="2"/>
    <x v="0"/>
    <s v="Bed"/>
    <n v="16"/>
    <n v="801"/>
    <n v="12816"/>
    <x v="2"/>
    <x v="3"/>
  </r>
  <r>
    <x v="117"/>
    <x v="98"/>
    <x v="117"/>
    <x v="1"/>
    <x v="3"/>
    <s v="Camera"/>
    <n v="20"/>
    <n v="286"/>
    <n v="5720"/>
    <x v="1"/>
    <x v="3"/>
  </r>
  <r>
    <x v="118"/>
    <x v="99"/>
    <x v="118"/>
    <x v="1"/>
    <x v="1"/>
    <s v="Bread"/>
    <n v="2"/>
    <n v="1529"/>
    <n v="3058"/>
    <x v="0"/>
    <x v="2"/>
  </r>
  <r>
    <x v="119"/>
    <x v="100"/>
    <x v="119"/>
    <x v="0"/>
    <x v="0"/>
    <s v="Sofa"/>
    <n v="19"/>
    <n v="528"/>
    <n v="10032"/>
    <x v="1"/>
    <x v="2"/>
  </r>
  <r>
    <x v="120"/>
    <x v="101"/>
    <x v="120"/>
    <x v="3"/>
    <x v="0"/>
    <s v="Bed"/>
    <n v="14"/>
    <n v="1736"/>
    <n v="24304"/>
    <x v="0"/>
    <x v="2"/>
  </r>
  <r>
    <x v="121"/>
    <x v="102"/>
    <x v="121"/>
    <x v="3"/>
    <x v="1"/>
    <s v="Milk"/>
    <n v="12"/>
    <n v="1855"/>
    <n v="22260"/>
    <x v="1"/>
    <x v="1"/>
  </r>
  <r>
    <x v="122"/>
    <x v="103"/>
    <x v="122"/>
    <x v="1"/>
    <x v="2"/>
    <s v="Shirt"/>
    <n v="17"/>
    <n v="1856"/>
    <n v="31552"/>
    <x v="2"/>
    <x v="1"/>
  </r>
  <r>
    <x v="123"/>
    <x v="104"/>
    <x v="123"/>
    <x v="1"/>
    <x v="0"/>
    <s v="Table"/>
    <n v="18"/>
    <n v="978"/>
    <n v="17604"/>
    <x v="3"/>
    <x v="4"/>
  </r>
  <r>
    <x v="124"/>
    <x v="105"/>
    <x v="124"/>
    <x v="3"/>
    <x v="3"/>
    <s v="Laptop"/>
    <n v="16"/>
    <n v="1415"/>
    <n v="22640"/>
    <x v="3"/>
    <x v="6"/>
  </r>
  <r>
    <x v="125"/>
    <x v="38"/>
    <x v="125"/>
    <x v="3"/>
    <x v="3"/>
    <s v="Mobile"/>
    <n v="20"/>
    <n v="1109"/>
    <n v="22180"/>
    <x v="0"/>
    <x v="0"/>
  </r>
  <r>
    <x v="126"/>
    <x v="106"/>
    <x v="126"/>
    <x v="2"/>
    <x v="0"/>
    <s v="Table"/>
    <n v="10"/>
    <n v="375"/>
    <n v="3750"/>
    <x v="0"/>
    <x v="4"/>
  </r>
  <r>
    <x v="127"/>
    <x v="107"/>
    <x v="127"/>
    <x v="2"/>
    <x v="3"/>
    <s v="Headphones"/>
    <n v="6"/>
    <n v="1596"/>
    <n v="9576"/>
    <x v="3"/>
    <x v="6"/>
  </r>
  <r>
    <x v="128"/>
    <x v="108"/>
    <x v="128"/>
    <x v="3"/>
    <x v="2"/>
    <s v="Jeans"/>
    <n v="11"/>
    <n v="1531"/>
    <n v="16841"/>
    <x v="0"/>
    <x v="4"/>
  </r>
  <r>
    <x v="129"/>
    <x v="109"/>
    <x v="129"/>
    <x v="2"/>
    <x v="0"/>
    <s v="Sofa"/>
    <n v="3"/>
    <n v="774"/>
    <n v="2322"/>
    <x v="1"/>
    <x v="1"/>
  </r>
  <r>
    <x v="130"/>
    <x v="110"/>
    <x v="130"/>
    <x v="0"/>
    <x v="1"/>
    <s v="Eggs"/>
    <n v="5"/>
    <n v="1761"/>
    <n v="8805"/>
    <x v="0"/>
    <x v="2"/>
  </r>
  <r>
    <x v="131"/>
    <x v="111"/>
    <x v="131"/>
    <x v="3"/>
    <x v="0"/>
    <s v="Bed"/>
    <n v="9"/>
    <n v="661"/>
    <n v="5949"/>
    <x v="3"/>
    <x v="1"/>
  </r>
  <r>
    <x v="132"/>
    <x v="112"/>
    <x v="132"/>
    <x v="2"/>
    <x v="2"/>
    <s v="Jeans"/>
    <n v="10"/>
    <n v="1266"/>
    <n v="12660"/>
    <x v="1"/>
    <x v="2"/>
  </r>
  <r>
    <x v="133"/>
    <x v="97"/>
    <x v="133"/>
    <x v="1"/>
    <x v="0"/>
    <s v="Table"/>
    <n v="4"/>
    <n v="1917"/>
    <n v="7668"/>
    <x v="2"/>
    <x v="2"/>
  </r>
  <r>
    <x v="134"/>
    <x v="113"/>
    <x v="134"/>
    <x v="2"/>
    <x v="2"/>
    <s v="Jeans"/>
    <n v="18"/>
    <n v="602"/>
    <n v="10836"/>
    <x v="0"/>
    <x v="3"/>
  </r>
  <r>
    <x v="135"/>
    <x v="70"/>
    <x v="135"/>
    <x v="1"/>
    <x v="2"/>
    <s v="Jeans"/>
    <n v="4"/>
    <n v="1213"/>
    <n v="4852"/>
    <x v="3"/>
    <x v="1"/>
  </r>
  <r>
    <x v="136"/>
    <x v="114"/>
    <x v="136"/>
    <x v="2"/>
    <x v="2"/>
    <s v="Jeans"/>
    <n v="8"/>
    <n v="1606"/>
    <n v="12848"/>
    <x v="3"/>
    <x v="2"/>
  </r>
  <r>
    <x v="137"/>
    <x v="115"/>
    <x v="137"/>
    <x v="2"/>
    <x v="1"/>
    <s v="Eggs"/>
    <n v="9"/>
    <n v="101"/>
    <n v="909"/>
    <x v="0"/>
    <x v="6"/>
  </r>
  <r>
    <x v="138"/>
    <x v="116"/>
    <x v="138"/>
    <x v="2"/>
    <x v="1"/>
    <s v="Rice"/>
    <n v="15"/>
    <n v="1381"/>
    <n v="20715"/>
    <x v="0"/>
    <x v="4"/>
  </r>
  <r>
    <x v="139"/>
    <x v="44"/>
    <x v="139"/>
    <x v="0"/>
    <x v="0"/>
    <s v="Chair"/>
    <n v="10"/>
    <n v="1645"/>
    <n v="16450"/>
    <x v="0"/>
    <x v="1"/>
  </r>
  <r>
    <x v="140"/>
    <x v="102"/>
    <x v="140"/>
    <x v="2"/>
    <x v="0"/>
    <s v="Sofa"/>
    <n v="15"/>
    <n v="1076"/>
    <n v="16140"/>
    <x v="2"/>
    <x v="0"/>
  </r>
  <r>
    <x v="141"/>
    <x v="23"/>
    <x v="141"/>
    <x v="0"/>
    <x v="3"/>
    <s v="Mobile"/>
    <n v="6"/>
    <n v="490"/>
    <n v="2940"/>
    <x v="0"/>
    <x v="1"/>
  </r>
  <r>
    <x v="142"/>
    <x v="117"/>
    <x v="142"/>
    <x v="2"/>
    <x v="1"/>
    <s v="Bread"/>
    <n v="10"/>
    <n v="313"/>
    <n v="3130"/>
    <x v="1"/>
    <x v="0"/>
  </r>
  <r>
    <x v="143"/>
    <x v="118"/>
    <x v="143"/>
    <x v="1"/>
    <x v="3"/>
    <s v="Mobile"/>
    <n v="10"/>
    <n v="593"/>
    <n v="5930"/>
    <x v="2"/>
    <x v="2"/>
  </r>
  <r>
    <x v="144"/>
    <x v="119"/>
    <x v="144"/>
    <x v="1"/>
    <x v="2"/>
    <s v="Jacket"/>
    <n v="14"/>
    <n v="1892"/>
    <n v="26488"/>
    <x v="0"/>
    <x v="1"/>
  </r>
  <r>
    <x v="145"/>
    <x v="120"/>
    <x v="145"/>
    <x v="3"/>
    <x v="3"/>
    <s v="Camera"/>
    <n v="12"/>
    <n v="518"/>
    <n v="6216"/>
    <x v="1"/>
    <x v="5"/>
  </r>
  <r>
    <x v="146"/>
    <x v="121"/>
    <x v="146"/>
    <x v="2"/>
    <x v="0"/>
    <s v="Bed"/>
    <n v="7"/>
    <n v="1780"/>
    <n v="12460"/>
    <x v="3"/>
    <x v="0"/>
  </r>
  <r>
    <x v="147"/>
    <x v="122"/>
    <x v="147"/>
    <x v="1"/>
    <x v="0"/>
    <s v="Table"/>
    <n v="2"/>
    <n v="191"/>
    <n v="382"/>
    <x v="2"/>
    <x v="6"/>
  </r>
  <r>
    <x v="148"/>
    <x v="64"/>
    <x v="148"/>
    <x v="1"/>
    <x v="1"/>
    <s v="Bread"/>
    <n v="10"/>
    <n v="170"/>
    <n v="1700"/>
    <x v="2"/>
    <x v="5"/>
  </r>
  <r>
    <x v="149"/>
    <x v="60"/>
    <x v="149"/>
    <x v="0"/>
    <x v="1"/>
    <s v="Rice"/>
    <n v="19"/>
    <n v="1140"/>
    <n v="21660"/>
    <x v="2"/>
    <x v="4"/>
  </r>
  <r>
    <x v="150"/>
    <x v="27"/>
    <x v="150"/>
    <x v="2"/>
    <x v="2"/>
    <s v="Jeans"/>
    <n v="14"/>
    <n v="495"/>
    <n v="6930"/>
    <x v="3"/>
    <x v="1"/>
  </r>
  <r>
    <x v="151"/>
    <x v="123"/>
    <x v="151"/>
    <x v="2"/>
    <x v="0"/>
    <s v="Chair"/>
    <n v="12"/>
    <n v="147"/>
    <n v="1764"/>
    <x v="2"/>
    <x v="0"/>
  </r>
  <r>
    <x v="152"/>
    <x v="124"/>
    <x v="152"/>
    <x v="1"/>
    <x v="2"/>
    <s v="Jacket"/>
    <n v="20"/>
    <n v="1695"/>
    <n v="33900"/>
    <x v="0"/>
    <x v="0"/>
  </r>
  <r>
    <x v="153"/>
    <x v="50"/>
    <x v="153"/>
    <x v="0"/>
    <x v="0"/>
    <s v="Sofa"/>
    <n v="8"/>
    <n v="1349"/>
    <n v="10792"/>
    <x v="3"/>
    <x v="4"/>
  </r>
  <r>
    <x v="154"/>
    <x v="125"/>
    <x v="154"/>
    <x v="3"/>
    <x v="3"/>
    <s v="Camera"/>
    <n v="13"/>
    <n v="1977"/>
    <n v="25701"/>
    <x v="2"/>
    <x v="0"/>
  </r>
  <r>
    <x v="155"/>
    <x v="50"/>
    <x v="155"/>
    <x v="2"/>
    <x v="0"/>
    <s v="Chair"/>
    <n v="10"/>
    <n v="879"/>
    <n v="8790"/>
    <x v="1"/>
    <x v="5"/>
  </r>
  <r>
    <x v="156"/>
    <x v="117"/>
    <x v="156"/>
    <x v="0"/>
    <x v="2"/>
    <s v="Jacket"/>
    <n v="14"/>
    <n v="1690"/>
    <n v="23660"/>
    <x v="0"/>
    <x v="6"/>
  </r>
  <r>
    <x v="157"/>
    <x v="115"/>
    <x v="157"/>
    <x v="0"/>
    <x v="1"/>
    <s v="Milk"/>
    <n v="13"/>
    <n v="374"/>
    <n v="4862"/>
    <x v="0"/>
    <x v="4"/>
  </r>
  <r>
    <x v="158"/>
    <x v="126"/>
    <x v="158"/>
    <x v="3"/>
    <x v="3"/>
    <s v="Camera"/>
    <n v="2"/>
    <n v="132"/>
    <n v="264"/>
    <x v="2"/>
    <x v="1"/>
  </r>
  <r>
    <x v="159"/>
    <x v="127"/>
    <x v="159"/>
    <x v="0"/>
    <x v="3"/>
    <s v="Camera"/>
    <n v="2"/>
    <n v="1310"/>
    <n v="2620"/>
    <x v="2"/>
    <x v="5"/>
  </r>
  <r>
    <x v="160"/>
    <x v="85"/>
    <x v="160"/>
    <x v="0"/>
    <x v="1"/>
    <s v="Milk"/>
    <n v="5"/>
    <n v="1991"/>
    <n v="9955"/>
    <x v="0"/>
    <x v="4"/>
  </r>
  <r>
    <x v="161"/>
    <x v="128"/>
    <x v="161"/>
    <x v="1"/>
    <x v="0"/>
    <s v="Bed"/>
    <n v="1"/>
    <n v="1043"/>
    <n v="1043"/>
    <x v="1"/>
    <x v="6"/>
  </r>
  <r>
    <x v="162"/>
    <x v="129"/>
    <x v="162"/>
    <x v="3"/>
    <x v="3"/>
    <s v="Laptop"/>
    <n v="20"/>
    <n v="781"/>
    <n v="15620"/>
    <x v="2"/>
    <x v="1"/>
  </r>
  <r>
    <x v="163"/>
    <x v="71"/>
    <x v="163"/>
    <x v="3"/>
    <x v="3"/>
    <s v="Camera"/>
    <n v="1"/>
    <n v="741"/>
    <n v="741"/>
    <x v="2"/>
    <x v="5"/>
  </r>
  <r>
    <x v="164"/>
    <x v="130"/>
    <x v="164"/>
    <x v="0"/>
    <x v="1"/>
    <s v="Rice"/>
    <n v="13"/>
    <n v="1331"/>
    <n v="17303"/>
    <x v="2"/>
    <x v="0"/>
  </r>
  <r>
    <x v="165"/>
    <x v="87"/>
    <x v="165"/>
    <x v="0"/>
    <x v="0"/>
    <s v="Sofa"/>
    <n v="7"/>
    <n v="148"/>
    <n v="1036"/>
    <x v="1"/>
    <x v="4"/>
  </r>
  <r>
    <x v="166"/>
    <x v="131"/>
    <x v="166"/>
    <x v="2"/>
    <x v="2"/>
    <s v="Jeans"/>
    <n v="15"/>
    <n v="172"/>
    <n v="2580"/>
    <x v="1"/>
    <x v="6"/>
  </r>
  <r>
    <x v="167"/>
    <x v="126"/>
    <x v="167"/>
    <x v="0"/>
    <x v="0"/>
    <s v="Chair"/>
    <n v="16"/>
    <n v="1791"/>
    <n v="28656"/>
    <x v="1"/>
    <x v="2"/>
  </r>
  <r>
    <x v="168"/>
    <x v="132"/>
    <x v="168"/>
    <x v="0"/>
    <x v="1"/>
    <s v="Bread"/>
    <n v="14"/>
    <n v="1057"/>
    <n v="14798"/>
    <x v="1"/>
    <x v="5"/>
  </r>
  <r>
    <x v="169"/>
    <x v="133"/>
    <x v="169"/>
    <x v="3"/>
    <x v="3"/>
    <s v="Laptop"/>
    <n v="12"/>
    <n v="312"/>
    <n v="3744"/>
    <x v="2"/>
    <x v="0"/>
  </r>
  <r>
    <x v="170"/>
    <x v="34"/>
    <x v="170"/>
    <x v="2"/>
    <x v="1"/>
    <s v="Eggs"/>
    <n v="2"/>
    <n v="1634"/>
    <n v="3268"/>
    <x v="3"/>
    <x v="5"/>
  </r>
  <r>
    <x v="171"/>
    <x v="70"/>
    <x v="171"/>
    <x v="3"/>
    <x v="1"/>
    <s v="Milk"/>
    <n v="14"/>
    <n v="1848"/>
    <n v="25872"/>
    <x v="3"/>
    <x v="2"/>
  </r>
  <r>
    <x v="172"/>
    <x v="134"/>
    <x v="172"/>
    <x v="0"/>
    <x v="3"/>
    <s v="Laptop"/>
    <n v="3"/>
    <n v="1920"/>
    <n v="5760"/>
    <x v="2"/>
    <x v="2"/>
  </r>
  <r>
    <x v="173"/>
    <x v="33"/>
    <x v="173"/>
    <x v="1"/>
    <x v="3"/>
    <s v="Headphones"/>
    <n v="18"/>
    <n v="1955"/>
    <n v="35190"/>
    <x v="2"/>
    <x v="0"/>
  </r>
  <r>
    <x v="174"/>
    <x v="90"/>
    <x v="174"/>
    <x v="0"/>
    <x v="1"/>
    <s v="Bread"/>
    <n v="16"/>
    <n v="601"/>
    <n v="9616"/>
    <x v="3"/>
    <x v="1"/>
  </r>
  <r>
    <x v="175"/>
    <x v="135"/>
    <x v="175"/>
    <x v="3"/>
    <x v="0"/>
    <s v="Table"/>
    <n v="7"/>
    <n v="1321"/>
    <n v="9247"/>
    <x v="0"/>
    <x v="2"/>
  </r>
  <r>
    <x v="176"/>
    <x v="131"/>
    <x v="176"/>
    <x v="2"/>
    <x v="1"/>
    <s v="Eggs"/>
    <n v="17"/>
    <n v="1205"/>
    <n v="20485"/>
    <x v="0"/>
    <x v="6"/>
  </r>
  <r>
    <x v="177"/>
    <x v="136"/>
    <x v="177"/>
    <x v="2"/>
    <x v="3"/>
    <s v="Laptop"/>
    <n v="16"/>
    <n v="850"/>
    <n v="13600"/>
    <x v="2"/>
    <x v="6"/>
  </r>
  <r>
    <x v="178"/>
    <x v="83"/>
    <x v="178"/>
    <x v="0"/>
    <x v="1"/>
    <s v="Rice"/>
    <n v="2"/>
    <n v="1044"/>
    <n v="2088"/>
    <x v="2"/>
    <x v="5"/>
  </r>
  <r>
    <x v="179"/>
    <x v="137"/>
    <x v="179"/>
    <x v="2"/>
    <x v="1"/>
    <s v="Eggs"/>
    <n v="3"/>
    <n v="846"/>
    <n v="2538"/>
    <x v="2"/>
    <x v="4"/>
  </r>
  <r>
    <x v="180"/>
    <x v="32"/>
    <x v="180"/>
    <x v="1"/>
    <x v="2"/>
    <s v="Shoes"/>
    <n v="4"/>
    <n v="315"/>
    <n v="1260"/>
    <x v="0"/>
    <x v="0"/>
  </r>
  <r>
    <x v="181"/>
    <x v="138"/>
    <x v="181"/>
    <x v="3"/>
    <x v="2"/>
    <s v="Jeans"/>
    <n v="13"/>
    <n v="1224"/>
    <n v="15912"/>
    <x v="2"/>
    <x v="4"/>
  </r>
  <r>
    <x v="182"/>
    <x v="139"/>
    <x v="182"/>
    <x v="3"/>
    <x v="2"/>
    <s v="Shoes"/>
    <n v="1"/>
    <n v="1555"/>
    <n v="1555"/>
    <x v="3"/>
    <x v="1"/>
  </r>
  <r>
    <x v="183"/>
    <x v="13"/>
    <x v="183"/>
    <x v="1"/>
    <x v="1"/>
    <s v="Eggs"/>
    <n v="10"/>
    <n v="1534"/>
    <n v="15340"/>
    <x v="1"/>
    <x v="2"/>
  </r>
  <r>
    <x v="184"/>
    <x v="25"/>
    <x v="184"/>
    <x v="1"/>
    <x v="3"/>
    <s v="Laptop"/>
    <n v="5"/>
    <n v="1257"/>
    <n v="6285"/>
    <x v="0"/>
    <x v="4"/>
  </r>
  <r>
    <x v="185"/>
    <x v="52"/>
    <x v="185"/>
    <x v="1"/>
    <x v="1"/>
    <s v="Milk"/>
    <n v="8"/>
    <n v="1704"/>
    <n v="13632"/>
    <x v="1"/>
    <x v="5"/>
  </r>
  <r>
    <x v="186"/>
    <x v="57"/>
    <x v="186"/>
    <x v="2"/>
    <x v="3"/>
    <s v="Camera"/>
    <n v="9"/>
    <n v="1902"/>
    <n v="17118"/>
    <x v="0"/>
    <x v="3"/>
  </r>
  <r>
    <x v="187"/>
    <x v="140"/>
    <x v="187"/>
    <x v="1"/>
    <x v="0"/>
    <s v="Chair"/>
    <n v="15"/>
    <n v="827"/>
    <n v="12405"/>
    <x v="1"/>
    <x v="3"/>
  </r>
  <r>
    <x v="188"/>
    <x v="34"/>
    <x v="188"/>
    <x v="2"/>
    <x v="3"/>
    <s v="Mobile"/>
    <n v="20"/>
    <n v="821"/>
    <n v="16420"/>
    <x v="2"/>
    <x v="4"/>
  </r>
  <r>
    <x v="189"/>
    <x v="93"/>
    <x v="189"/>
    <x v="3"/>
    <x v="1"/>
    <s v="Rice"/>
    <n v="10"/>
    <n v="547"/>
    <n v="5470"/>
    <x v="3"/>
    <x v="2"/>
  </r>
  <r>
    <x v="190"/>
    <x v="141"/>
    <x v="190"/>
    <x v="1"/>
    <x v="3"/>
    <s v="Headphones"/>
    <n v="7"/>
    <n v="110"/>
    <n v="770"/>
    <x v="2"/>
    <x v="3"/>
  </r>
  <r>
    <x v="191"/>
    <x v="124"/>
    <x v="191"/>
    <x v="0"/>
    <x v="2"/>
    <s v="Shoes"/>
    <n v="6"/>
    <n v="715"/>
    <n v="4290"/>
    <x v="0"/>
    <x v="5"/>
  </r>
  <r>
    <x v="192"/>
    <x v="142"/>
    <x v="192"/>
    <x v="2"/>
    <x v="0"/>
    <s v="Table"/>
    <n v="2"/>
    <n v="710"/>
    <n v="1420"/>
    <x v="2"/>
    <x v="0"/>
  </r>
  <r>
    <x v="193"/>
    <x v="78"/>
    <x v="193"/>
    <x v="0"/>
    <x v="0"/>
    <s v="Table"/>
    <n v="4"/>
    <n v="635"/>
    <n v="2540"/>
    <x v="0"/>
    <x v="2"/>
  </r>
  <r>
    <x v="194"/>
    <x v="42"/>
    <x v="194"/>
    <x v="3"/>
    <x v="0"/>
    <s v="Table"/>
    <n v="12"/>
    <n v="1649"/>
    <n v="19788"/>
    <x v="3"/>
    <x v="1"/>
  </r>
  <r>
    <x v="195"/>
    <x v="39"/>
    <x v="195"/>
    <x v="2"/>
    <x v="3"/>
    <s v="Headphones"/>
    <n v="4"/>
    <n v="611"/>
    <n v="2444"/>
    <x v="0"/>
    <x v="5"/>
  </r>
  <r>
    <x v="196"/>
    <x v="143"/>
    <x v="196"/>
    <x v="0"/>
    <x v="2"/>
    <s v="Jacket"/>
    <n v="1"/>
    <n v="1873"/>
    <n v="1873"/>
    <x v="3"/>
    <x v="1"/>
  </r>
  <r>
    <x v="197"/>
    <x v="117"/>
    <x v="197"/>
    <x v="0"/>
    <x v="1"/>
    <s v="Eggs"/>
    <n v="12"/>
    <n v="168"/>
    <n v="2016"/>
    <x v="2"/>
    <x v="2"/>
  </r>
  <r>
    <x v="198"/>
    <x v="6"/>
    <x v="198"/>
    <x v="0"/>
    <x v="0"/>
    <s v="Table"/>
    <n v="1"/>
    <n v="1867"/>
    <n v="1867"/>
    <x v="3"/>
    <x v="1"/>
  </r>
  <r>
    <x v="199"/>
    <x v="56"/>
    <x v="199"/>
    <x v="3"/>
    <x v="2"/>
    <s v="Shirt"/>
    <n v="5"/>
    <n v="278"/>
    <n v="1390"/>
    <x v="3"/>
    <x v="3"/>
  </r>
  <r>
    <x v="200"/>
    <x v="108"/>
    <x v="200"/>
    <x v="3"/>
    <x v="0"/>
    <s v="Table"/>
    <n v="6"/>
    <n v="815"/>
    <n v="4890"/>
    <x v="2"/>
    <x v="1"/>
  </r>
  <r>
    <x v="201"/>
    <x v="144"/>
    <x v="201"/>
    <x v="3"/>
    <x v="3"/>
    <s v="Camera"/>
    <n v="2"/>
    <n v="229"/>
    <n v="458"/>
    <x v="0"/>
    <x v="2"/>
  </r>
  <r>
    <x v="202"/>
    <x v="145"/>
    <x v="202"/>
    <x v="2"/>
    <x v="2"/>
    <s v="Shoes"/>
    <n v="12"/>
    <n v="621"/>
    <n v="7452"/>
    <x v="2"/>
    <x v="5"/>
  </r>
  <r>
    <x v="203"/>
    <x v="146"/>
    <x v="203"/>
    <x v="2"/>
    <x v="1"/>
    <s v="Milk"/>
    <n v="16"/>
    <n v="1066"/>
    <n v="17056"/>
    <x v="3"/>
    <x v="5"/>
  </r>
  <r>
    <x v="204"/>
    <x v="59"/>
    <x v="204"/>
    <x v="2"/>
    <x v="0"/>
    <s v="Chair"/>
    <n v="17"/>
    <n v="530"/>
    <n v="9010"/>
    <x v="0"/>
    <x v="3"/>
  </r>
  <r>
    <x v="205"/>
    <x v="147"/>
    <x v="205"/>
    <x v="1"/>
    <x v="3"/>
    <s v="Laptop"/>
    <n v="13"/>
    <n v="1188"/>
    <n v="15444"/>
    <x v="3"/>
    <x v="4"/>
  </r>
  <r>
    <x v="206"/>
    <x v="92"/>
    <x v="206"/>
    <x v="3"/>
    <x v="2"/>
    <s v="Shoes"/>
    <n v="9"/>
    <n v="343"/>
    <n v="3087"/>
    <x v="2"/>
    <x v="5"/>
  </r>
  <r>
    <x v="207"/>
    <x v="148"/>
    <x v="207"/>
    <x v="3"/>
    <x v="3"/>
    <s v="Camera"/>
    <n v="4"/>
    <n v="1875"/>
    <n v="7500"/>
    <x v="2"/>
    <x v="6"/>
  </r>
  <r>
    <x v="208"/>
    <x v="116"/>
    <x v="208"/>
    <x v="0"/>
    <x v="0"/>
    <s v="Table"/>
    <n v="12"/>
    <n v="1340"/>
    <n v="16080"/>
    <x v="1"/>
    <x v="3"/>
  </r>
  <r>
    <x v="209"/>
    <x v="149"/>
    <x v="209"/>
    <x v="3"/>
    <x v="1"/>
    <s v="Rice"/>
    <n v="13"/>
    <n v="764"/>
    <n v="9932"/>
    <x v="0"/>
    <x v="3"/>
  </r>
  <r>
    <x v="210"/>
    <x v="52"/>
    <x v="210"/>
    <x v="1"/>
    <x v="3"/>
    <s v="Laptop"/>
    <n v="17"/>
    <n v="1424"/>
    <n v="24208"/>
    <x v="1"/>
    <x v="4"/>
  </r>
  <r>
    <x v="211"/>
    <x v="125"/>
    <x v="211"/>
    <x v="3"/>
    <x v="3"/>
    <s v="Headphones"/>
    <n v="14"/>
    <n v="563"/>
    <n v="7882"/>
    <x v="1"/>
    <x v="3"/>
  </r>
  <r>
    <x v="212"/>
    <x v="13"/>
    <x v="212"/>
    <x v="3"/>
    <x v="2"/>
    <s v="Shirt"/>
    <n v="3"/>
    <n v="131"/>
    <n v="393"/>
    <x v="0"/>
    <x v="6"/>
  </r>
  <r>
    <x v="213"/>
    <x v="99"/>
    <x v="213"/>
    <x v="2"/>
    <x v="3"/>
    <s v="Headphones"/>
    <n v="12"/>
    <n v="572"/>
    <n v="6864"/>
    <x v="0"/>
    <x v="6"/>
  </r>
  <r>
    <x v="214"/>
    <x v="113"/>
    <x v="214"/>
    <x v="3"/>
    <x v="0"/>
    <s v="Sofa"/>
    <n v="14"/>
    <n v="1528"/>
    <n v="21392"/>
    <x v="2"/>
    <x v="0"/>
  </r>
  <r>
    <x v="215"/>
    <x v="94"/>
    <x v="215"/>
    <x v="3"/>
    <x v="3"/>
    <s v="Camera"/>
    <n v="16"/>
    <n v="712"/>
    <n v="11392"/>
    <x v="3"/>
    <x v="2"/>
  </r>
  <r>
    <x v="216"/>
    <x v="13"/>
    <x v="216"/>
    <x v="1"/>
    <x v="3"/>
    <s v="Laptop"/>
    <n v="5"/>
    <n v="1985"/>
    <n v="9925"/>
    <x v="3"/>
    <x v="1"/>
  </r>
  <r>
    <x v="217"/>
    <x v="150"/>
    <x v="217"/>
    <x v="2"/>
    <x v="3"/>
    <s v="Mobile"/>
    <n v="4"/>
    <n v="988"/>
    <n v="3952"/>
    <x v="0"/>
    <x v="6"/>
  </r>
  <r>
    <x v="218"/>
    <x v="96"/>
    <x v="218"/>
    <x v="1"/>
    <x v="3"/>
    <s v="Headphones"/>
    <n v="11"/>
    <n v="1976"/>
    <n v="21736"/>
    <x v="1"/>
    <x v="5"/>
  </r>
  <r>
    <x v="219"/>
    <x v="151"/>
    <x v="219"/>
    <x v="1"/>
    <x v="3"/>
    <s v="Laptop"/>
    <n v="8"/>
    <n v="945"/>
    <n v="7560"/>
    <x v="1"/>
    <x v="0"/>
  </r>
  <r>
    <x v="220"/>
    <x v="129"/>
    <x v="220"/>
    <x v="3"/>
    <x v="0"/>
    <s v="Chair"/>
    <n v="8"/>
    <n v="1715"/>
    <n v="13720"/>
    <x v="1"/>
    <x v="2"/>
  </r>
  <r>
    <x v="221"/>
    <x v="116"/>
    <x v="221"/>
    <x v="1"/>
    <x v="0"/>
    <s v="Bed"/>
    <n v="12"/>
    <n v="466"/>
    <n v="5592"/>
    <x v="1"/>
    <x v="5"/>
  </r>
  <r>
    <x v="222"/>
    <x v="152"/>
    <x v="222"/>
    <x v="0"/>
    <x v="0"/>
    <s v="Table"/>
    <n v="1"/>
    <n v="555"/>
    <n v="555"/>
    <x v="3"/>
    <x v="4"/>
  </r>
  <r>
    <x v="223"/>
    <x v="153"/>
    <x v="223"/>
    <x v="0"/>
    <x v="3"/>
    <s v="Camera"/>
    <n v="13"/>
    <n v="1880"/>
    <n v="24440"/>
    <x v="0"/>
    <x v="3"/>
  </r>
  <r>
    <x v="224"/>
    <x v="87"/>
    <x v="224"/>
    <x v="0"/>
    <x v="3"/>
    <s v="Mobile"/>
    <n v="8"/>
    <n v="1623"/>
    <n v="12984"/>
    <x v="1"/>
    <x v="6"/>
  </r>
  <r>
    <x v="225"/>
    <x v="26"/>
    <x v="225"/>
    <x v="1"/>
    <x v="3"/>
    <s v="Headphones"/>
    <n v="1"/>
    <n v="1432"/>
    <n v="1432"/>
    <x v="2"/>
    <x v="6"/>
  </r>
  <r>
    <x v="226"/>
    <x v="14"/>
    <x v="226"/>
    <x v="3"/>
    <x v="1"/>
    <s v="Rice"/>
    <n v="17"/>
    <n v="178"/>
    <n v="3026"/>
    <x v="1"/>
    <x v="1"/>
  </r>
  <r>
    <x v="227"/>
    <x v="62"/>
    <x v="227"/>
    <x v="2"/>
    <x v="0"/>
    <s v="Bed"/>
    <n v="17"/>
    <n v="1358"/>
    <n v="23086"/>
    <x v="1"/>
    <x v="0"/>
  </r>
  <r>
    <x v="228"/>
    <x v="154"/>
    <x v="228"/>
    <x v="3"/>
    <x v="1"/>
    <s v="Milk"/>
    <n v="5"/>
    <n v="1646"/>
    <n v="8230"/>
    <x v="3"/>
    <x v="4"/>
  </r>
  <r>
    <x v="229"/>
    <x v="155"/>
    <x v="229"/>
    <x v="0"/>
    <x v="2"/>
    <s v="Jacket"/>
    <n v="11"/>
    <n v="1579"/>
    <n v="17369"/>
    <x v="2"/>
    <x v="5"/>
  </r>
  <r>
    <x v="230"/>
    <x v="156"/>
    <x v="230"/>
    <x v="2"/>
    <x v="1"/>
    <s v="Bread"/>
    <n v="10"/>
    <n v="339"/>
    <n v="3390"/>
    <x v="2"/>
    <x v="0"/>
  </r>
  <r>
    <x v="231"/>
    <x v="122"/>
    <x v="231"/>
    <x v="3"/>
    <x v="0"/>
    <s v="Chair"/>
    <n v="5"/>
    <n v="305"/>
    <n v="1525"/>
    <x v="0"/>
    <x v="2"/>
  </r>
  <r>
    <x v="232"/>
    <x v="157"/>
    <x v="232"/>
    <x v="0"/>
    <x v="3"/>
    <s v="Laptop"/>
    <n v="17"/>
    <n v="837"/>
    <n v="14229"/>
    <x v="1"/>
    <x v="5"/>
  </r>
  <r>
    <x v="233"/>
    <x v="158"/>
    <x v="233"/>
    <x v="0"/>
    <x v="3"/>
    <s v="Laptop"/>
    <n v="4"/>
    <n v="1270"/>
    <n v="5080"/>
    <x v="2"/>
    <x v="2"/>
  </r>
  <r>
    <x v="234"/>
    <x v="146"/>
    <x v="234"/>
    <x v="2"/>
    <x v="1"/>
    <s v="Milk"/>
    <n v="8"/>
    <n v="1140"/>
    <n v="9120"/>
    <x v="0"/>
    <x v="4"/>
  </r>
  <r>
    <x v="235"/>
    <x v="46"/>
    <x v="235"/>
    <x v="3"/>
    <x v="1"/>
    <s v="Milk"/>
    <n v="16"/>
    <n v="939"/>
    <n v="15024"/>
    <x v="2"/>
    <x v="3"/>
  </r>
  <r>
    <x v="236"/>
    <x v="159"/>
    <x v="236"/>
    <x v="1"/>
    <x v="2"/>
    <s v="Shoes"/>
    <n v="4"/>
    <n v="1227"/>
    <n v="4908"/>
    <x v="0"/>
    <x v="6"/>
  </r>
  <r>
    <x v="237"/>
    <x v="160"/>
    <x v="237"/>
    <x v="0"/>
    <x v="3"/>
    <s v="Laptop"/>
    <n v="16"/>
    <n v="622"/>
    <n v="9952"/>
    <x v="3"/>
    <x v="0"/>
  </r>
  <r>
    <x v="238"/>
    <x v="19"/>
    <x v="238"/>
    <x v="1"/>
    <x v="0"/>
    <s v="Bed"/>
    <n v="17"/>
    <n v="219"/>
    <n v="3723"/>
    <x v="1"/>
    <x v="6"/>
  </r>
  <r>
    <x v="239"/>
    <x v="59"/>
    <x v="239"/>
    <x v="2"/>
    <x v="2"/>
    <s v="Shirt"/>
    <n v="6"/>
    <n v="294"/>
    <n v="1764"/>
    <x v="2"/>
    <x v="6"/>
  </r>
  <r>
    <x v="240"/>
    <x v="126"/>
    <x v="240"/>
    <x v="3"/>
    <x v="1"/>
    <s v="Rice"/>
    <n v="7"/>
    <n v="754"/>
    <n v="5278"/>
    <x v="0"/>
    <x v="2"/>
  </r>
  <r>
    <x v="241"/>
    <x v="161"/>
    <x v="241"/>
    <x v="2"/>
    <x v="3"/>
    <s v="Mobile"/>
    <n v="8"/>
    <n v="892"/>
    <n v="7136"/>
    <x v="3"/>
    <x v="1"/>
  </r>
  <r>
    <x v="242"/>
    <x v="162"/>
    <x v="242"/>
    <x v="0"/>
    <x v="3"/>
    <s v="Headphones"/>
    <n v="15"/>
    <n v="1287"/>
    <n v="19305"/>
    <x v="2"/>
    <x v="2"/>
  </r>
  <r>
    <x v="243"/>
    <x v="163"/>
    <x v="243"/>
    <x v="0"/>
    <x v="3"/>
    <s v="Laptop"/>
    <n v="2"/>
    <n v="109"/>
    <n v="218"/>
    <x v="1"/>
    <x v="6"/>
  </r>
  <r>
    <x v="244"/>
    <x v="62"/>
    <x v="244"/>
    <x v="3"/>
    <x v="3"/>
    <s v="Laptop"/>
    <n v="9"/>
    <n v="1128"/>
    <n v="10152"/>
    <x v="0"/>
    <x v="0"/>
  </r>
  <r>
    <x v="245"/>
    <x v="108"/>
    <x v="245"/>
    <x v="1"/>
    <x v="1"/>
    <s v="Bread"/>
    <n v="14"/>
    <n v="1931"/>
    <n v="27034"/>
    <x v="3"/>
    <x v="0"/>
  </r>
  <r>
    <x v="246"/>
    <x v="164"/>
    <x v="246"/>
    <x v="3"/>
    <x v="1"/>
    <s v="Milk"/>
    <n v="12"/>
    <n v="729"/>
    <n v="8748"/>
    <x v="3"/>
    <x v="1"/>
  </r>
  <r>
    <x v="247"/>
    <x v="165"/>
    <x v="247"/>
    <x v="1"/>
    <x v="3"/>
    <s v="Laptop"/>
    <n v="12"/>
    <n v="1616"/>
    <n v="19392"/>
    <x v="0"/>
    <x v="3"/>
  </r>
  <r>
    <x v="248"/>
    <x v="5"/>
    <x v="248"/>
    <x v="3"/>
    <x v="0"/>
    <s v="Chair"/>
    <n v="13"/>
    <n v="1414"/>
    <n v="18382"/>
    <x v="2"/>
    <x v="5"/>
  </r>
  <r>
    <x v="249"/>
    <x v="18"/>
    <x v="249"/>
    <x v="1"/>
    <x v="2"/>
    <s v="Shoes"/>
    <n v="17"/>
    <n v="684"/>
    <n v="11628"/>
    <x v="3"/>
    <x v="5"/>
  </r>
  <r>
    <x v="250"/>
    <x v="166"/>
    <x v="250"/>
    <x v="2"/>
    <x v="1"/>
    <s v="Eggs"/>
    <n v="4"/>
    <n v="642"/>
    <n v="2568"/>
    <x v="3"/>
    <x v="3"/>
  </r>
  <r>
    <x v="251"/>
    <x v="167"/>
    <x v="251"/>
    <x v="3"/>
    <x v="3"/>
    <s v="Laptop"/>
    <n v="15"/>
    <n v="1139"/>
    <n v="17085"/>
    <x v="3"/>
    <x v="0"/>
  </r>
  <r>
    <x v="252"/>
    <x v="168"/>
    <x v="252"/>
    <x v="1"/>
    <x v="3"/>
    <s v="Laptop"/>
    <n v="12"/>
    <n v="739"/>
    <n v="8868"/>
    <x v="2"/>
    <x v="3"/>
  </r>
  <r>
    <x v="253"/>
    <x v="169"/>
    <x v="253"/>
    <x v="3"/>
    <x v="3"/>
    <s v="Camera"/>
    <n v="9"/>
    <n v="489"/>
    <n v="4401"/>
    <x v="2"/>
    <x v="4"/>
  </r>
  <r>
    <x v="254"/>
    <x v="170"/>
    <x v="254"/>
    <x v="1"/>
    <x v="0"/>
    <s v="Bed"/>
    <n v="12"/>
    <n v="458"/>
    <n v="5496"/>
    <x v="2"/>
    <x v="1"/>
  </r>
  <r>
    <x v="255"/>
    <x v="140"/>
    <x v="255"/>
    <x v="1"/>
    <x v="3"/>
    <s v="Headphones"/>
    <n v="8"/>
    <n v="106"/>
    <n v="848"/>
    <x v="2"/>
    <x v="1"/>
  </r>
  <r>
    <x v="256"/>
    <x v="68"/>
    <x v="256"/>
    <x v="0"/>
    <x v="0"/>
    <s v="Bed"/>
    <n v="14"/>
    <n v="477"/>
    <n v="6678"/>
    <x v="0"/>
    <x v="2"/>
  </r>
  <r>
    <x v="257"/>
    <x v="72"/>
    <x v="257"/>
    <x v="3"/>
    <x v="3"/>
    <s v="Camera"/>
    <n v="1"/>
    <n v="202"/>
    <n v="202"/>
    <x v="3"/>
    <x v="4"/>
  </r>
  <r>
    <x v="258"/>
    <x v="171"/>
    <x v="258"/>
    <x v="2"/>
    <x v="1"/>
    <s v="Rice"/>
    <n v="6"/>
    <n v="704"/>
    <n v="4224"/>
    <x v="1"/>
    <x v="0"/>
  </r>
  <r>
    <x v="259"/>
    <x v="55"/>
    <x v="259"/>
    <x v="3"/>
    <x v="0"/>
    <s v="Bed"/>
    <n v="8"/>
    <n v="892"/>
    <n v="7136"/>
    <x v="0"/>
    <x v="0"/>
  </r>
  <r>
    <x v="260"/>
    <x v="172"/>
    <x v="260"/>
    <x v="1"/>
    <x v="2"/>
    <s v="Shirt"/>
    <n v="15"/>
    <n v="238"/>
    <n v="3570"/>
    <x v="1"/>
    <x v="4"/>
  </r>
  <r>
    <x v="261"/>
    <x v="102"/>
    <x v="261"/>
    <x v="2"/>
    <x v="3"/>
    <s v="Camera"/>
    <n v="4"/>
    <n v="157"/>
    <n v="628"/>
    <x v="0"/>
    <x v="2"/>
  </r>
  <r>
    <x v="262"/>
    <x v="13"/>
    <x v="262"/>
    <x v="2"/>
    <x v="0"/>
    <s v="Sofa"/>
    <n v="15"/>
    <n v="1159"/>
    <n v="17385"/>
    <x v="2"/>
    <x v="2"/>
  </r>
  <r>
    <x v="263"/>
    <x v="173"/>
    <x v="263"/>
    <x v="3"/>
    <x v="0"/>
    <s v="Bed"/>
    <n v="15"/>
    <n v="1440"/>
    <n v="21600"/>
    <x v="3"/>
    <x v="2"/>
  </r>
  <r>
    <x v="264"/>
    <x v="174"/>
    <x v="264"/>
    <x v="1"/>
    <x v="1"/>
    <s v="Eggs"/>
    <n v="11"/>
    <n v="1246"/>
    <n v="13706"/>
    <x v="0"/>
    <x v="0"/>
  </r>
  <r>
    <x v="265"/>
    <x v="175"/>
    <x v="265"/>
    <x v="0"/>
    <x v="2"/>
    <s v="Shirt"/>
    <n v="10"/>
    <n v="1697"/>
    <n v="16970"/>
    <x v="3"/>
    <x v="6"/>
  </r>
  <r>
    <x v="266"/>
    <x v="176"/>
    <x v="266"/>
    <x v="1"/>
    <x v="1"/>
    <s v="Bread"/>
    <n v="14"/>
    <n v="1193"/>
    <n v="16702"/>
    <x v="2"/>
    <x v="4"/>
  </r>
  <r>
    <x v="267"/>
    <x v="177"/>
    <x v="267"/>
    <x v="1"/>
    <x v="1"/>
    <s v="Milk"/>
    <n v="18"/>
    <n v="652"/>
    <n v="11736"/>
    <x v="2"/>
    <x v="5"/>
  </r>
  <r>
    <x v="268"/>
    <x v="178"/>
    <x v="268"/>
    <x v="3"/>
    <x v="0"/>
    <s v="Chair"/>
    <n v="18"/>
    <n v="1569"/>
    <n v="28242"/>
    <x v="0"/>
    <x v="2"/>
  </r>
  <r>
    <x v="269"/>
    <x v="108"/>
    <x v="269"/>
    <x v="1"/>
    <x v="3"/>
    <s v="Laptop"/>
    <n v="6"/>
    <n v="1828"/>
    <n v="10968"/>
    <x v="0"/>
    <x v="6"/>
  </r>
  <r>
    <x v="270"/>
    <x v="99"/>
    <x v="270"/>
    <x v="2"/>
    <x v="0"/>
    <s v="Chair"/>
    <n v="20"/>
    <n v="711"/>
    <n v="14220"/>
    <x v="3"/>
    <x v="3"/>
  </r>
  <r>
    <x v="271"/>
    <x v="179"/>
    <x v="271"/>
    <x v="3"/>
    <x v="3"/>
    <s v="Camera"/>
    <n v="17"/>
    <n v="215"/>
    <n v="3655"/>
    <x v="1"/>
    <x v="5"/>
  </r>
  <r>
    <x v="272"/>
    <x v="33"/>
    <x v="272"/>
    <x v="1"/>
    <x v="3"/>
    <s v="Headphones"/>
    <n v="12"/>
    <n v="436"/>
    <n v="5232"/>
    <x v="0"/>
    <x v="2"/>
  </r>
  <r>
    <x v="273"/>
    <x v="180"/>
    <x v="273"/>
    <x v="1"/>
    <x v="3"/>
    <s v="Camera"/>
    <n v="11"/>
    <n v="815"/>
    <n v="8965"/>
    <x v="3"/>
    <x v="1"/>
  </r>
  <r>
    <x v="274"/>
    <x v="181"/>
    <x v="274"/>
    <x v="2"/>
    <x v="1"/>
    <s v="Bread"/>
    <n v="10"/>
    <n v="533"/>
    <n v="5330"/>
    <x v="1"/>
    <x v="5"/>
  </r>
  <r>
    <x v="275"/>
    <x v="101"/>
    <x v="275"/>
    <x v="2"/>
    <x v="3"/>
    <s v="Camera"/>
    <n v="11"/>
    <n v="807"/>
    <n v="8877"/>
    <x v="2"/>
    <x v="4"/>
  </r>
  <r>
    <x v="276"/>
    <x v="182"/>
    <x v="276"/>
    <x v="0"/>
    <x v="0"/>
    <s v="Table"/>
    <n v="6"/>
    <n v="1699"/>
    <n v="10194"/>
    <x v="1"/>
    <x v="5"/>
  </r>
  <r>
    <x v="277"/>
    <x v="183"/>
    <x v="277"/>
    <x v="0"/>
    <x v="3"/>
    <s v="Mobile"/>
    <n v="17"/>
    <n v="309"/>
    <n v="5253"/>
    <x v="0"/>
    <x v="4"/>
  </r>
  <r>
    <x v="278"/>
    <x v="66"/>
    <x v="278"/>
    <x v="1"/>
    <x v="1"/>
    <s v="Bread"/>
    <n v="19"/>
    <n v="1963"/>
    <n v="37297"/>
    <x v="2"/>
    <x v="0"/>
  </r>
  <r>
    <x v="279"/>
    <x v="16"/>
    <x v="279"/>
    <x v="2"/>
    <x v="0"/>
    <s v="Bed"/>
    <n v="8"/>
    <n v="1077"/>
    <n v="8616"/>
    <x v="3"/>
    <x v="3"/>
  </r>
  <r>
    <x v="280"/>
    <x v="67"/>
    <x v="280"/>
    <x v="0"/>
    <x v="2"/>
    <s v="Shoes"/>
    <n v="18"/>
    <n v="669"/>
    <n v="12042"/>
    <x v="1"/>
    <x v="4"/>
  </r>
  <r>
    <x v="281"/>
    <x v="92"/>
    <x v="281"/>
    <x v="2"/>
    <x v="3"/>
    <s v="Mobile"/>
    <n v="11"/>
    <n v="1673"/>
    <n v="18403"/>
    <x v="2"/>
    <x v="3"/>
  </r>
  <r>
    <x v="282"/>
    <x v="34"/>
    <x v="282"/>
    <x v="0"/>
    <x v="0"/>
    <s v="Table"/>
    <n v="18"/>
    <n v="388"/>
    <n v="6984"/>
    <x v="2"/>
    <x v="0"/>
  </r>
  <r>
    <x v="283"/>
    <x v="38"/>
    <x v="283"/>
    <x v="3"/>
    <x v="1"/>
    <s v="Rice"/>
    <n v="18"/>
    <n v="937"/>
    <n v="16866"/>
    <x v="1"/>
    <x v="3"/>
  </r>
  <r>
    <x v="284"/>
    <x v="163"/>
    <x v="284"/>
    <x v="2"/>
    <x v="2"/>
    <s v="Shirt"/>
    <n v="4"/>
    <n v="430"/>
    <n v="1720"/>
    <x v="0"/>
    <x v="6"/>
  </r>
  <r>
    <x v="285"/>
    <x v="126"/>
    <x v="285"/>
    <x v="1"/>
    <x v="1"/>
    <s v="Milk"/>
    <n v="12"/>
    <n v="1251"/>
    <n v="15012"/>
    <x v="3"/>
    <x v="6"/>
  </r>
  <r>
    <x v="286"/>
    <x v="29"/>
    <x v="286"/>
    <x v="0"/>
    <x v="2"/>
    <s v="Shirt"/>
    <n v="7"/>
    <n v="181"/>
    <n v="1267"/>
    <x v="2"/>
    <x v="1"/>
  </r>
  <r>
    <x v="287"/>
    <x v="136"/>
    <x v="287"/>
    <x v="0"/>
    <x v="0"/>
    <s v="Table"/>
    <n v="13"/>
    <n v="985"/>
    <n v="12805"/>
    <x v="1"/>
    <x v="2"/>
  </r>
  <r>
    <x v="288"/>
    <x v="116"/>
    <x v="288"/>
    <x v="1"/>
    <x v="0"/>
    <s v="Sofa"/>
    <n v="5"/>
    <n v="1117"/>
    <n v="5585"/>
    <x v="0"/>
    <x v="4"/>
  </r>
  <r>
    <x v="289"/>
    <x v="184"/>
    <x v="289"/>
    <x v="3"/>
    <x v="3"/>
    <s v="Mobile"/>
    <n v="16"/>
    <n v="393"/>
    <n v="6288"/>
    <x v="2"/>
    <x v="3"/>
  </r>
  <r>
    <x v="290"/>
    <x v="4"/>
    <x v="290"/>
    <x v="1"/>
    <x v="3"/>
    <s v="Headphones"/>
    <n v="6"/>
    <n v="1534"/>
    <n v="9204"/>
    <x v="1"/>
    <x v="4"/>
  </r>
  <r>
    <x v="291"/>
    <x v="185"/>
    <x v="291"/>
    <x v="2"/>
    <x v="1"/>
    <s v="Rice"/>
    <n v="5"/>
    <n v="1607"/>
    <n v="8035"/>
    <x v="0"/>
    <x v="0"/>
  </r>
  <r>
    <x v="292"/>
    <x v="186"/>
    <x v="292"/>
    <x v="0"/>
    <x v="2"/>
    <s v="Jeans"/>
    <n v="4"/>
    <n v="1762"/>
    <n v="7048"/>
    <x v="1"/>
    <x v="3"/>
  </r>
  <r>
    <x v="293"/>
    <x v="62"/>
    <x v="293"/>
    <x v="1"/>
    <x v="2"/>
    <s v="Jeans"/>
    <n v="10"/>
    <n v="325"/>
    <n v="3250"/>
    <x v="0"/>
    <x v="0"/>
  </r>
  <r>
    <x v="294"/>
    <x v="57"/>
    <x v="294"/>
    <x v="2"/>
    <x v="0"/>
    <s v="Sofa"/>
    <n v="18"/>
    <n v="120"/>
    <n v="2160"/>
    <x v="3"/>
    <x v="4"/>
  </r>
  <r>
    <x v="295"/>
    <x v="97"/>
    <x v="295"/>
    <x v="1"/>
    <x v="0"/>
    <s v="Bed"/>
    <n v="16"/>
    <n v="1088"/>
    <n v="17408"/>
    <x v="3"/>
    <x v="2"/>
  </r>
  <r>
    <x v="296"/>
    <x v="163"/>
    <x v="296"/>
    <x v="1"/>
    <x v="0"/>
    <s v="Chair"/>
    <n v="6"/>
    <n v="500"/>
    <n v="3000"/>
    <x v="0"/>
    <x v="0"/>
  </r>
  <r>
    <x v="297"/>
    <x v="185"/>
    <x v="297"/>
    <x v="0"/>
    <x v="0"/>
    <s v="Table"/>
    <n v="2"/>
    <n v="258"/>
    <n v="516"/>
    <x v="3"/>
    <x v="6"/>
  </r>
  <r>
    <x v="298"/>
    <x v="44"/>
    <x v="298"/>
    <x v="2"/>
    <x v="3"/>
    <s v="Laptop"/>
    <n v="17"/>
    <n v="1044"/>
    <n v="17748"/>
    <x v="1"/>
    <x v="0"/>
  </r>
  <r>
    <x v="299"/>
    <x v="187"/>
    <x v="299"/>
    <x v="0"/>
    <x v="1"/>
    <s v="Bread"/>
    <n v="3"/>
    <n v="1002"/>
    <n v="3006"/>
    <x v="1"/>
    <x v="4"/>
  </r>
  <r>
    <x v="300"/>
    <x v="188"/>
    <x v="300"/>
    <x v="1"/>
    <x v="1"/>
    <s v="Bread"/>
    <n v="3"/>
    <n v="1850"/>
    <n v="5550"/>
    <x v="1"/>
    <x v="5"/>
  </r>
  <r>
    <x v="301"/>
    <x v="189"/>
    <x v="301"/>
    <x v="2"/>
    <x v="0"/>
    <s v="Sofa"/>
    <n v="16"/>
    <n v="1661"/>
    <n v="26576"/>
    <x v="1"/>
    <x v="0"/>
  </r>
  <r>
    <x v="302"/>
    <x v="109"/>
    <x v="302"/>
    <x v="1"/>
    <x v="2"/>
    <s v="Jacket"/>
    <n v="7"/>
    <n v="1819"/>
    <n v="12733"/>
    <x v="0"/>
    <x v="4"/>
  </r>
  <r>
    <x v="303"/>
    <x v="30"/>
    <x v="303"/>
    <x v="3"/>
    <x v="1"/>
    <s v="Rice"/>
    <n v="13"/>
    <n v="1247"/>
    <n v="16211"/>
    <x v="0"/>
    <x v="3"/>
  </r>
  <r>
    <x v="304"/>
    <x v="190"/>
    <x v="304"/>
    <x v="0"/>
    <x v="2"/>
    <s v="Jacket"/>
    <n v="20"/>
    <n v="992"/>
    <n v="19840"/>
    <x v="3"/>
    <x v="3"/>
  </r>
  <r>
    <x v="305"/>
    <x v="172"/>
    <x v="305"/>
    <x v="1"/>
    <x v="0"/>
    <s v="Bed"/>
    <n v="1"/>
    <n v="458"/>
    <n v="458"/>
    <x v="0"/>
    <x v="2"/>
  </r>
  <r>
    <x v="306"/>
    <x v="51"/>
    <x v="306"/>
    <x v="2"/>
    <x v="2"/>
    <s v="Shirt"/>
    <n v="13"/>
    <n v="847"/>
    <n v="11011"/>
    <x v="3"/>
    <x v="2"/>
  </r>
  <r>
    <x v="307"/>
    <x v="191"/>
    <x v="307"/>
    <x v="2"/>
    <x v="3"/>
    <s v="Laptop"/>
    <n v="17"/>
    <n v="1667"/>
    <n v="28339"/>
    <x v="1"/>
    <x v="0"/>
  </r>
  <r>
    <x v="308"/>
    <x v="5"/>
    <x v="308"/>
    <x v="2"/>
    <x v="3"/>
    <s v="Camera"/>
    <n v="13"/>
    <n v="1803"/>
    <n v="23439"/>
    <x v="0"/>
    <x v="6"/>
  </r>
  <r>
    <x v="309"/>
    <x v="74"/>
    <x v="309"/>
    <x v="1"/>
    <x v="0"/>
    <s v="Chair"/>
    <n v="10"/>
    <n v="1709"/>
    <n v="17090"/>
    <x v="3"/>
    <x v="0"/>
  </r>
  <r>
    <x v="310"/>
    <x v="66"/>
    <x v="310"/>
    <x v="2"/>
    <x v="1"/>
    <s v="Milk"/>
    <n v="12"/>
    <n v="1527"/>
    <n v="18324"/>
    <x v="3"/>
    <x v="5"/>
  </r>
  <r>
    <x v="311"/>
    <x v="192"/>
    <x v="311"/>
    <x v="1"/>
    <x v="0"/>
    <s v="Table"/>
    <n v="20"/>
    <n v="100"/>
    <n v="2000"/>
    <x v="1"/>
    <x v="6"/>
  </r>
  <r>
    <x v="312"/>
    <x v="193"/>
    <x v="312"/>
    <x v="3"/>
    <x v="2"/>
    <s v="Jeans"/>
    <n v="12"/>
    <n v="788"/>
    <n v="9456"/>
    <x v="3"/>
    <x v="4"/>
  </r>
  <r>
    <x v="313"/>
    <x v="141"/>
    <x v="313"/>
    <x v="0"/>
    <x v="1"/>
    <s v="Bread"/>
    <n v="5"/>
    <n v="1386"/>
    <n v="6930"/>
    <x v="0"/>
    <x v="2"/>
  </r>
  <r>
    <x v="314"/>
    <x v="0"/>
    <x v="314"/>
    <x v="2"/>
    <x v="3"/>
    <s v="Mobile"/>
    <n v="5"/>
    <n v="181"/>
    <n v="905"/>
    <x v="2"/>
    <x v="5"/>
  </r>
  <r>
    <x v="315"/>
    <x v="176"/>
    <x v="315"/>
    <x v="2"/>
    <x v="1"/>
    <s v="Bread"/>
    <n v="4"/>
    <n v="590"/>
    <n v="2360"/>
    <x v="1"/>
    <x v="1"/>
  </r>
  <r>
    <x v="316"/>
    <x v="53"/>
    <x v="316"/>
    <x v="0"/>
    <x v="1"/>
    <s v="Rice"/>
    <n v="7"/>
    <n v="1191"/>
    <n v="8337"/>
    <x v="2"/>
    <x v="0"/>
  </r>
  <r>
    <x v="317"/>
    <x v="47"/>
    <x v="317"/>
    <x v="2"/>
    <x v="3"/>
    <s v="Camera"/>
    <n v="4"/>
    <n v="1583"/>
    <n v="6332"/>
    <x v="0"/>
    <x v="3"/>
  </r>
  <r>
    <x v="318"/>
    <x v="137"/>
    <x v="318"/>
    <x v="1"/>
    <x v="3"/>
    <s v="Headphones"/>
    <n v="20"/>
    <n v="1720"/>
    <n v="34400"/>
    <x v="0"/>
    <x v="5"/>
  </r>
  <r>
    <x v="319"/>
    <x v="85"/>
    <x v="319"/>
    <x v="1"/>
    <x v="1"/>
    <s v="Milk"/>
    <n v="17"/>
    <n v="1212"/>
    <n v="20604"/>
    <x v="3"/>
    <x v="2"/>
  </r>
  <r>
    <x v="320"/>
    <x v="142"/>
    <x v="320"/>
    <x v="0"/>
    <x v="2"/>
    <s v="Jacket"/>
    <n v="5"/>
    <n v="1878"/>
    <n v="9390"/>
    <x v="2"/>
    <x v="4"/>
  </r>
  <r>
    <x v="321"/>
    <x v="16"/>
    <x v="321"/>
    <x v="0"/>
    <x v="1"/>
    <s v="Milk"/>
    <n v="8"/>
    <n v="1906"/>
    <n v="15248"/>
    <x v="2"/>
    <x v="0"/>
  </r>
  <r>
    <x v="322"/>
    <x v="194"/>
    <x v="322"/>
    <x v="3"/>
    <x v="0"/>
    <s v="Bed"/>
    <n v="16"/>
    <n v="1047"/>
    <n v="16752"/>
    <x v="1"/>
    <x v="4"/>
  </r>
  <r>
    <x v="323"/>
    <x v="195"/>
    <x v="323"/>
    <x v="0"/>
    <x v="2"/>
    <s v="Jacket"/>
    <n v="16"/>
    <n v="1936"/>
    <n v="30976"/>
    <x v="1"/>
    <x v="4"/>
  </r>
  <r>
    <x v="324"/>
    <x v="196"/>
    <x v="324"/>
    <x v="1"/>
    <x v="2"/>
    <s v="Shirt"/>
    <n v="20"/>
    <n v="1693"/>
    <n v="33860"/>
    <x v="2"/>
    <x v="2"/>
  </r>
  <r>
    <x v="325"/>
    <x v="6"/>
    <x v="325"/>
    <x v="2"/>
    <x v="2"/>
    <s v="Shoes"/>
    <n v="15"/>
    <n v="927"/>
    <n v="13905"/>
    <x v="0"/>
    <x v="4"/>
  </r>
  <r>
    <x v="326"/>
    <x v="116"/>
    <x v="326"/>
    <x v="3"/>
    <x v="2"/>
    <s v="Jacket"/>
    <n v="15"/>
    <n v="1257"/>
    <n v="18855"/>
    <x v="0"/>
    <x v="5"/>
  </r>
  <r>
    <x v="327"/>
    <x v="47"/>
    <x v="327"/>
    <x v="3"/>
    <x v="1"/>
    <s v="Milk"/>
    <n v="4"/>
    <n v="282"/>
    <n v="1128"/>
    <x v="1"/>
    <x v="6"/>
  </r>
  <r>
    <x v="328"/>
    <x v="104"/>
    <x v="328"/>
    <x v="2"/>
    <x v="3"/>
    <s v="Headphones"/>
    <n v="13"/>
    <n v="831"/>
    <n v="10803"/>
    <x v="2"/>
    <x v="0"/>
  </r>
  <r>
    <x v="329"/>
    <x v="65"/>
    <x v="329"/>
    <x v="2"/>
    <x v="1"/>
    <s v="Bread"/>
    <n v="16"/>
    <n v="743"/>
    <n v="11888"/>
    <x v="2"/>
    <x v="0"/>
  </r>
  <r>
    <x v="330"/>
    <x v="197"/>
    <x v="330"/>
    <x v="2"/>
    <x v="1"/>
    <s v="Bread"/>
    <n v="18"/>
    <n v="894"/>
    <n v="16092"/>
    <x v="3"/>
    <x v="1"/>
  </r>
  <r>
    <x v="331"/>
    <x v="185"/>
    <x v="331"/>
    <x v="2"/>
    <x v="3"/>
    <s v="Camera"/>
    <n v="5"/>
    <n v="831"/>
    <n v="4155"/>
    <x v="0"/>
    <x v="0"/>
  </r>
  <r>
    <x v="332"/>
    <x v="105"/>
    <x v="332"/>
    <x v="3"/>
    <x v="3"/>
    <s v="Laptop"/>
    <n v="10"/>
    <n v="1660"/>
    <n v="16600"/>
    <x v="2"/>
    <x v="2"/>
  </r>
  <r>
    <x v="333"/>
    <x v="198"/>
    <x v="333"/>
    <x v="0"/>
    <x v="3"/>
    <s v="Laptop"/>
    <n v="14"/>
    <n v="1311"/>
    <n v="18354"/>
    <x v="2"/>
    <x v="6"/>
  </r>
  <r>
    <x v="334"/>
    <x v="26"/>
    <x v="334"/>
    <x v="1"/>
    <x v="3"/>
    <s v="Laptop"/>
    <n v="13"/>
    <n v="1898"/>
    <n v="24674"/>
    <x v="1"/>
    <x v="2"/>
  </r>
  <r>
    <x v="335"/>
    <x v="102"/>
    <x v="335"/>
    <x v="0"/>
    <x v="3"/>
    <s v="Mobile"/>
    <n v="11"/>
    <n v="1104"/>
    <n v="12144"/>
    <x v="2"/>
    <x v="6"/>
  </r>
  <r>
    <x v="336"/>
    <x v="199"/>
    <x v="336"/>
    <x v="1"/>
    <x v="3"/>
    <s v="Camera"/>
    <n v="1"/>
    <n v="1578"/>
    <n v="1578"/>
    <x v="1"/>
    <x v="1"/>
  </r>
  <r>
    <x v="337"/>
    <x v="8"/>
    <x v="337"/>
    <x v="3"/>
    <x v="0"/>
    <s v="Bed"/>
    <n v="4"/>
    <n v="1391"/>
    <n v="5564"/>
    <x v="1"/>
    <x v="0"/>
  </r>
  <r>
    <x v="338"/>
    <x v="172"/>
    <x v="338"/>
    <x v="0"/>
    <x v="1"/>
    <s v="Eggs"/>
    <n v="19"/>
    <n v="401"/>
    <n v="7619"/>
    <x v="3"/>
    <x v="4"/>
  </r>
  <r>
    <x v="339"/>
    <x v="97"/>
    <x v="339"/>
    <x v="1"/>
    <x v="0"/>
    <s v="Bed"/>
    <n v="19"/>
    <n v="317"/>
    <n v="6023"/>
    <x v="3"/>
    <x v="4"/>
  </r>
  <r>
    <x v="340"/>
    <x v="200"/>
    <x v="340"/>
    <x v="1"/>
    <x v="1"/>
    <s v="Rice"/>
    <n v="11"/>
    <n v="384"/>
    <n v="4224"/>
    <x v="1"/>
    <x v="5"/>
  </r>
  <r>
    <x v="341"/>
    <x v="149"/>
    <x v="341"/>
    <x v="0"/>
    <x v="1"/>
    <s v="Rice"/>
    <n v="6"/>
    <n v="1731"/>
    <n v="10386"/>
    <x v="1"/>
    <x v="4"/>
  </r>
  <r>
    <x v="342"/>
    <x v="152"/>
    <x v="342"/>
    <x v="2"/>
    <x v="1"/>
    <s v="Bread"/>
    <n v="1"/>
    <n v="378"/>
    <n v="378"/>
    <x v="1"/>
    <x v="6"/>
  </r>
  <r>
    <x v="343"/>
    <x v="165"/>
    <x v="343"/>
    <x v="1"/>
    <x v="2"/>
    <s v="Shirt"/>
    <n v="17"/>
    <n v="1406"/>
    <n v="23902"/>
    <x v="1"/>
    <x v="4"/>
  </r>
  <r>
    <x v="344"/>
    <x v="201"/>
    <x v="344"/>
    <x v="1"/>
    <x v="3"/>
    <s v="Laptop"/>
    <n v="1"/>
    <n v="1020"/>
    <n v="1020"/>
    <x v="2"/>
    <x v="5"/>
  </r>
  <r>
    <x v="345"/>
    <x v="114"/>
    <x v="345"/>
    <x v="2"/>
    <x v="1"/>
    <s v="Bread"/>
    <n v="5"/>
    <n v="1148"/>
    <n v="5740"/>
    <x v="3"/>
    <x v="0"/>
  </r>
  <r>
    <x v="346"/>
    <x v="184"/>
    <x v="346"/>
    <x v="1"/>
    <x v="3"/>
    <s v="Laptop"/>
    <n v="3"/>
    <n v="1742"/>
    <n v="5226"/>
    <x v="0"/>
    <x v="4"/>
  </r>
  <r>
    <x v="347"/>
    <x v="35"/>
    <x v="347"/>
    <x v="0"/>
    <x v="0"/>
    <s v="Table"/>
    <n v="14"/>
    <n v="595"/>
    <n v="8330"/>
    <x v="2"/>
    <x v="2"/>
  </r>
  <r>
    <x v="348"/>
    <x v="142"/>
    <x v="348"/>
    <x v="1"/>
    <x v="3"/>
    <s v="Camera"/>
    <n v="18"/>
    <n v="1271"/>
    <n v="22878"/>
    <x v="2"/>
    <x v="3"/>
  </r>
  <r>
    <x v="349"/>
    <x v="202"/>
    <x v="349"/>
    <x v="2"/>
    <x v="3"/>
    <s v="Headphones"/>
    <n v="11"/>
    <n v="1338"/>
    <n v="14718"/>
    <x v="0"/>
    <x v="6"/>
  </r>
  <r>
    <x v="350"/>
    <x v="180"/>
    <x v="350"/>
    <x v="2"/>
    <x v="1"/>
    <s v="Rice"/>
    <n v="10"/>
    <n v="1403"/>
    <n v="14030"/>
    <x v="3"/>
    <x v="6"/>
  </r>
  <r>
    <x v="351"/>
    <x v="138"/>
    <x v="351"/>
    <x v="2"/>
    <x v="1"/>
    <s v="Bread"/>
    <n v="12"/>
    <n v="300"/>
    <n v="3600"/>
    <x v="2"/>
    <x v="3"/>
  </r>
  <r>
    <x v="352"/>
    <x v="203"/>
    <x v="352"/>
    <x v="1"/>
    <x v="1"/>
    <s v="Milk"/>
    <n v="5"/>
    <n v="520"/>
    <n v="2600"/>
    <x v="2"/>
    <x v="3"/>
  </r>
  <r>
    <x v="353"/>
    <x v="204"/>
    <x v="353"/>
    <x v="1"/>
    <x v="1"/>
    <s v="Rice"/>
    <n v="9"/>
    <n v="1048"/>
    <n v="9432"/>
    <x v="3"/>
    <x v="1"/>
  </r>
  <r>
    <x v="354"/>
    <x v="153"/>
    <x v="354"/>
    <x v="0"/>
    <x v="3"/>
    <s v="Laptop"/>
    <n v="9"/>
    <n v="1623"/>
    <n v="14607"/>
    <x v="0"/>
    <x v="2"/>
  </r>
  <r>
    <x v="355"/>
    <x v="195"/>
    <x v="355"/>
    <x v="1"/>
    <x v="0"/>
    <s v="Sofa"/>
    <n v="17"/>
    <n v="984"/>
    <n v="16728"/>
    <x v="3"/>
    <x v="1"/>
  </r>
  <r>
    <x v="356"/>
    <x v="87"/>
    <x v="356"/>
    <x v="3"/>
    <x v="2"/>
    <s v="Shoes"/>
    <n v="18"/>
    <n v="1569"/>
    <n v="28242"/>
    <x v="2"/>
    <x v="0"/>
  </r>
  <r>
    <x v="357"/>
    <x v="28"/>
    <x v="357"/>
    <x v="1"/>
    <x v="2"/>
    <s v="Jacket"/>
    <n v="15"/>
    <n v="794"/>
    <n v="11910"/>
    <x v="3"/>
    <x v="1"/>
  </r>
  <r>
    <x v="358"/>
    <x v="119"/>
    <x v="358"/>
    <x v="1"/>
    <x v="3"/>
    <s v="Camera"/>
    <n v="6"/>
    <n v="921"/>
    <n v="5526"/>
    <x v="3"/>
    <x v="3"/>
  </r>
  <r>
    <x v="359"/>
    <x v="205"/>
    <x v="359"/>
    <x v="2"/>
    <x v="1"/>
    <s v="Milk"/>
    <n v="19"/>
    <n v="897"/>
    <n v="17043"/>
    <x v="3"/>
    <x v="3"/>
  </r>
  <r>
    <x v="360"/>
    <x v="88"/>
    <x v="360"/>
    <x v="0"/>
    <x v="2"/>
    <s v="Jeans"/>
    <n v="6"/>
    <n v="670"/>
    <n v="4020"/>
    <x v="0"/>
    <x v="0"/>
  </r>
  <r>
    <x v="361"/>
    <x v="206"/>
    <x v="361"/>
    <x v="1"/>
    <x v="2"/>
    <s v="Jeans"/>
    <n v="3"/>
    <n v="700"/>
    <n v="2100"/>
    <x v="3"/>
    <x v="2"/>
  </r>
  <r>
    <x v="362"/>
    <x v="207"/>
    <x v="362"/>
    <x v="0"/>
    <x v="1"/>
    <s v="Bread"/>
    <n v="7"/>
    <n v="1417"/>
    <n v="9919"/>
    <x v="1"/>
    <x v="2"/>
  </r>
  <r>
    <x v="363"/>
    <x v="13"/>
    <x v="363"/>
    <x v="0"/>
    <x v="3"/>
    <s v="Camera"/>
    <n v="2"/>
    <n v="426"/>
    <n v="852"/>
    <x v="3"/>
    <x v="6"/>
  </r>
  <r>
    <x v="364"/>
    <x v="208"/>
    <x v="364"/>
    <x v="3"/>
    <x v="1"/>
    <s v="Milk"/>
    <n v="11"/>
    <n v="171"/>
    <n v="1881"/>
    <x v="2"/>
    <x v="0"/>
  </r>
  <r>
    <x v="365"/>
    <x v="209"/>
    <x v="365"/>
    <x v="1"/>
    <x v="2"/>
    <s v="Jacket"/>
    <n v="8"/>
    <n v="722"/>
    <n v="5776"/>
    <x v="3"/>
    <x v="1"/>
  </r>
  <r>
    <x v="366"/>
    <x v="198"/>
    <x v="366"/>
    <x v="1"/>
    <x v="0"/>
    <s v="Bed"/>
    <n v="13"/>
    <n v="676"/>
    <n v="8788"/>
    <x v="0"/>
    <x v="0"/>
  </r>
  <r>
    <x v="367"/>
    <x v="210"/>
    <x v="367"/>
    <x v="1"/>
    <x v="1"/>
    <s v="Milk"/>
    <n v="18"/>
    <n v="1715"/>
    <n v="30870"/>
    <x v="3"/>
    <x v="5"/>
  </r>
  <r>
    <x v="368"/>
    <x v="211"/>
    <x v="368"/>
    <x v="1"/>
    <x v="1"/>
    <s v="Bread"/>
    <n v="20"/>
    <n v="951"/>
    <n v="19020"/>
    <x v="3"/>
    <x v="3"/>
  </r>
  <r>
    <x v="369"/>
    <x v="212"/>
    <x v="369"/>
    <x v="3"/>
    <x v="0"/>
    <s v="Bed"/>
    <n v="2"/>
    <n v="1233"/>
    <n v="2466"/>
    <x v="2"/>
    <x v="5"/>
  </r>
  <r>
    <x v="370"/>
    <x v="54"/>
    <x v="370"/>
    <x v="0"/>
    <x v="3"/>
    <s v="Camera"/>
    <n v="7"/>
    <n v="1040"/>
    <n v="7280"/>
    <x v="2"/>
    <x v="3"/>
  </r>
  <r>
    <x v="371"/>
    <x v="89"/>
    <x v="371"/>
    <x v="1"/>
    <x v="3"/>
    <s v="Laptop"/>
    <n v="18"/>
    <n v="1128"/>
    <n v="20304"/>
    <x v="2"/>
    <x v="4"/>
  </r>
  <r>
    <x v="372"/>
    <x v="213"/>
    <x v="372"/>
    <x v="1"/>
    <x v="2"/>
    <s v="Shirt"/>
    <n v="14"/>
    <n v="359"/>
    <n v="5026"/>
    <x v="1"/>
    <x v="2"/>
  </r>
  <r>
    <x v="373"/>
    <x v="180"/>
    <x v="373"/>
    <x v="3"/>
    <x v="3"/>
    <s v="Mobile"/>
    <n v="14"/>
    <n v="1035"/>
    <n v="14490"/>
    <x v="1"/>
    <x v="4"/>
  </r>
  <r>
    <x v="374"/>
    <x v="214"/>
    <x v="374"/>
    <x v="1"/>
    <x v="1"/>
    <s v="Bread"/>
    <n v="12"/>
    <n v="1471"/>
    <n v="17652"/>
    <x v="2"/>
    <x v="1"/>
  </r>
  <r>
    <x v="375"/>
    <x v="117"/>
    <x v="375"/>
    <x v="2"/>
    <x v="2"/>
    <s v="Jeans"/>
    <n v="13"/>
    <n v="787"/>
    <n v="10231"/>
    <x v="0"/>
    <x v="0"/>
  </r>
  <r>
    <x v="376"/>
    <x v="60"/>
    <x v="376"/>
    <x v="0"/>
    <x v="0"/>
    <s v="Chair"/>
    <n v="12"/>
    <n v="982"/>
    <n v="11784"/>
    <x v="0"/>
    <x v="5"/>
  </r>
  <r>
    <x v="377"/>
    <x v="5"/>
    <x v="377"/>
    <x v="2"/>
    <x v="2"/>
    <s v="Jacket"/>
    <n v="6"/>
    <n v="1049"/>
    <n v="6294"/>
    <x v="3"/>
    <x v="5"/>
  </r>
  <r>
    <x v="378"/>
    <x v="215"/>
    <x v="378"/>
    <x v="1"/>
    <x v="2"/>
    <s v="Jacket"/>
    <n v="12"/>
    <n v="873"/>
    <n v="10476"/>
    <x v="1"/>
    <x v="2"/>
  </r>
  <r>
    <x v="379"/>
    <x v="214"/>
    <x v="379"/>
    <x v="1"/>
    <x v="2"/>
    <s v="Jeans"/>
    <n v="19"/>
    <n v="1479"/>
    <n v="28101"/>
    <x v="2"/>
    <x v="0"/>
  </r>
  <r>
    <x v="380"/>
    <x v="216"/>
    <x v="380"/>
    <x v="2"/>
    <x v="0"/>
    <s v="Bed"/>
    <n v="18"/>
    <n v="954"/>
    <n v="17172"/>
    <x v="3"/>
    <x v="6"/>
  </r>
  <r>
    <x v="381"/>
    <x v="19"/>
    <x v="381"/>
    <x v="2"/>
    <x v="3"/>
    <s v="Camera"/>
    <n v="19"/>
    <n v="1594"/>
    <n v="30286"/>
    <x v="0"/>
    <x v="1"/>
  </r>
  <r>
    <x v="382"/>
    <x v="137"/>
    <x v="382"/>
    <x v="3"/>
    <x v="2"/>
    <s v="Jeans"/>
    <n v="17"/>
    <n v="1077"/>
    <n v="18309"/>
    <x v="1"/>
    <x v="1"/>
  </r>
  <r>
    <x v="383"/>
    <x v="143"/>
    <x v="383"/>
    <x v="0"/>
    <x v="3"/>
    <s v="Laptop"/>
    <n v="10"/>
    <n v="1486"/>
    <n v="14860"/>
    <x v="2"/>
    <x v="4"/>
  </r>
  <r>
    <x v="384"/>
    <x v="121"/>
    <x v="384"/>
    <x v="2"/>
    <x v="3"/>
    <s v="Laptop"/>
    <n v="18"/>
    <n v="698"/>
    <n v="12564"/>
    <x v="1"/>
    <x v="5"/>
  </r>
  <r>
    <x v="385"/>
    <x v="217"/>
    <x v="385"/>
    <x v="1"/>
    <x v="3"/>
    <s v="Camera"/>
    <n v="10"/>
    <n v="526"/>
    <n v="5260"/>
    <x v="3"/>
    <x v="5"/>
  </r>
  <r>
    <x v="386"/>
    <x v="218"/>
    <x v="386"/>
    <x v="0"/>
    <x v="0"/>
    <s v="Chair"/>
    <n v="4"/>
    <n v="364"/>
    <n v="1456"/>
    <x v="0"/>
    <x v="3"/>
  </r>
  <r>
    <x v="387"/>
    <x v="186"/>
    <x v="387"/>
    <x v="2"/>
    <x v="3"/>
    <s v="Camera"/>
    <n v="6"/>
    <n v="511"/>
    <n v="3066"/>
    <x v="3"/>
    <x v="6"/>
  </r>
  <r>
    <x v="388"/>
    <x v="4"/>
    <x v="388"/>
    <x v="2"/>
    <x v="0"/>
    <s v="Bed"/>
    <n v="1"/>
    <n v="1029"/>
    <n v="1029"/>
    <x v="2"/>
    <x v="0"/>
  </r>
  <r>
    <x v="389"/>
    <x v="97"/>
    <x v="389"/>
    <x v="3"/>
    <x v="1"/>
    <s v="Rice"/>
    <n v="11"/>
    <n v="281"/>
    <n v="3091"/>
    <x v="1"/>
    <x v="6"/>
  </r>
  <r>
    <x v="390"/>
    <x v="156"/>
    <x v="390"/>
    <x v="3"/>
    <x v="1"/>
    <s v="Rice"/>
    <n v="11"/>
    <n v="1245"/>
    <n v="13695"/>
    <x v="0"/>
    <x v="6"/>
  </r>
  <r>
    <x v="391"/>
    <x v="219"/>
    <x v="391"/>
    <x v="1"/>
    <x v="0"/>
    <s v="Bed"/>
    <n v="18"/>
    <n v="1078"/>
    <n v="19404"/>
    <x v="2"/>
    <x v="1"/>
  </r>
  <r>
    <x v="392"/>
    <x v="139"/>
    <x v="392"/>
    <x v="2"/>
    <x v="2"/>
    <s v="Jeans"/>
    <n v="17"/>
    <n v="584"/>
    <n v="9928"/>
    <x v="0"/>
    <x v="2"/>
  </r>
  <r>
    <x v="393"/>
    <x v="220"/>
    <x v="393"/>
    <x v="2"/>
    <x v="3"/>
    <s v="Mobile"/>
    <n v="15"/>
    <n v="1515"/>
    <n v="22725"/>
    <x v="2"/>
    <x v="5"/>
  </r>
  <r>
    <x v="394"/>
    <x v="110"/>
    <x v="394"/>
    <x v="3"/>
    <x v="1"/>
    <s v="Eggs"/>
    <n v="20"/>
    <n v="1767"/>
    <n v="35340"/>
    <x v="0"/>
    <x v="1"/>
  </r>
  <r>
    <x v="395"/>
    <x v="191"/>
    <x v="395"/>
    <x v="1"/>
    <x v="2"/>
    <s v="Shirt"/>
    <n v="7"/>
    <n v="489"/>
    <n v="3423"/>
    <x v="2"/>
    <x v="4"/>
  </r>
  <r>
    <x v="396"/>
    <x v="196"/>
    <x v="396"/>
    <x v="0"/>
    <x v="3"/>
    <s v="Mobile"/>
    <n v="20"/>
    <n v="817"/>
    <n v="16340"/>
    <x v="2"/>
    <x v="6"/>
  </r>
  <r>
    <x v="397"/>
    <x v="129"/>
    <x v="397"/>
    <x v="2"/>
    <x v="1"/>
    <s v="Bread"/>
    <n v="14"/>
    <n v="821"/>
    <n v="11494"/>
    <x v="1"/>
    <x v="0"/>
  </r>
  <r>
    <x v="398"/>
    <x v="47"/>
    <x v="398"/>
    <x v="3"/>
    <x v="3"/>
    <s v="Mobile"/>
    <n v="20"/>
    <n v="173"/>
    <n v="3460"/>
    <x v="1"/>
    <x v="5"/>
  </r>
  <r>
    <x v="399"/>
    <x v="214"/>
    <x v="399"/>
    <x v="2"/>
    <x v="3"/>
    <s v="Mobile"/>
    <n v="9"/>
    <n v="853"/>
    <n v="7677"/>
    <x v="1"/>
    <x v="5"/>
  </r>
  <r>
    <x v="400"/>
    <x v="212"/>
    <x v="400"/>
    <x v="1"/>
    <x v="0"/>
    <s v="Chair"/>
    <n v="19"/>
    <n v="1724"/>
    <n v="32756"/>
    <x v="3"/>
    <x v="4"/>
  </r>
  <r>
    <x v="401"/>
    <x v="221"/>
    <x v="401"/>
    <x v="2"/>
    <x v="0"/>
    <s v="Table"/>
    <n v="2"/>
    <n v="234"/>
    <n v="468"/>
    <x v="0"/>
    <x v="1"/>
  </r>
  <r>
    <x v="402"/>
    <x v="196"/>
    <x v="402"/>
    <x v="2"/>
    <x v="3"/>
    <s v="Laptop"/>
    <n v="7"/>
    <n v="678"/>
    <n v="4746"/>
    <x v="1"/>
    <x v="2"/>
  </r>
  <r>
    <x v="403"/>
    <x v="222"/>
    <x v="403"/>
    <x v="0"/>
    <x v="0"/>
    <s v="Bed"/>
    <n v="11"/>
    <n v="1407"/>
    <n v="15477"/>
    <x v="3"/>
    <x v="3"/>
  </r>
  <r>
    <x v="404"/>
    <x v="158"/>
    <x v="404"/>
    <x v="0"/>
    <x v="2"/>
    <s v="Shoes"/>
    <n v="19"/>
    <n v="1076"/>
    <n v="20444"/>
    <x v="3"/>
    <x v="3"/>
  </r>
  <r>
    <x v="405"/>
    <x v="192"/>
    <x v="405"/>
    <x v="1"/>
    <x v="0"/>
    <s v="Chair"/>
    <n v="1"/>
    <n v="1624"/>
    <n v="1624"/>
    <x v="2"/>
    <x v="4"/>
  </r>
  <r>
    <x v="406"/>
    <x v="41"/>
    <x v="406"/>
    <x v="2"/>
    <x v="0"/>
    <s v="Sofa"/>
    <n v="18"/>
    <n v="540"/>
    <n v="9720"/>
    <x v="0"/>
    <x v="3"/>
  </r>
  <r>
    <x v="407"/>
    <x v="64"/>
    <x v="407"/>
    <x v="0"/>
    <x v="3"/>
    <s v="Laptop"/>
    <n v="3"/>
    <n v="901"/>
    <n v="2703"/>
    <x v="0"/>
    <x v="5"/>
  </r>
  <r>
    <x v="408"/>
    <x v="11"/>
    <x v="408"/>
    <x v="3"/>
    <x v="3"/>
    <s v="Camera"/>
    <n v="8"/>
    <n v="1605"/>
    <n v="12840"/>
    <x v="2"/>
    <x v="3"/>
  </r>
  <r>
    <x v="409"/>
    <x v="10"/>
    <x v="409"/>
    <x v="3"/>
    <x v="0"/>
    <s v="Table"/>
    <n v="12"/>
    <n v="1543"/>
    <n v="18516"/>
    <x v="1"/>
    <x v="1"/>
  </r>
  <r>
    <x v="410"/>
    <x v="169"/>
    <x v="410"/>
    <x v="3"/>
    <x v="1"/>
    <s v="Bread"/>
    <n v="19"/>
    <n v="1782"/>
    <n v="33858"/>
    <x v="0"/>
    <x v="5"/>
  </r>
  <r>
    <x v="411"/>
    <x v="143"/>
    <x v="411"/>
    <x v="3"/>
    <x v="0"/>
    <s v="Bed"/>
    <n v="6"/>
    <n v="520"/>
    <n v="3120"/>
    <x v="1"/>
    <x v="1"/>
  </r>
  <r>
    <x v="412"/>
    <x v="58"/>
    <x v="412"/>
    <x v="1"/>
    <x v="0"/>
    <s v="Sofa"/>
    <n v="5"/>
    <n v="1451"/>
    <n v="7255"/>
    <x v="1"/>
    <x v="5"/>
  </r>
  <r>
    <x v="413"/>
    <x v="140"/>
    <x v="413"/>
    <x v="1"/>
    <x v="3"/>
    <s v="Laptop"/>
    <n v="19"/>
    <n v="1078"/>
    <n v="20482"/>
    <x v="1"/>
    <x v="4"/>
  </r>
  <r>
    <x v="414"/>
    <x v="156"/>
    <x v="414"/>
    <x v="2"/>
    <x v="2"/>
    <s v="Shirt"/>
    <n v="14"/>
    <n v="679"/>
    <n v="9506"/>
    <x v="3"/>
    <x v="0"/>
  </r>
  <r>
    <x v="415"/>
    <x v="223"/>
    <x v="415"/>
    <x v="0"/>
    <x v="0"/>
    <s v="Sofa"/>
    <n v="4"/>
    <n v="124"/>
    <n v="496"/>
    <x v="1"/>
    <x v="3"/>
  </r>
  <r>
    <x v="416"/>
    <x v="131"/>
    <x v="416"/>
    <x v="1"/>
    <x v="1"/>
    <s v="Rice"/>
    <n v="15"/>
    <n v="1253"/>
    <n v="18795"/>
    <x v="0"/>
    <x v="0"/>
  </r>
  <r>
    <x v="417"/>
    <x v="13"/>
    <x v="417"/>
    <x v="3"/>
    <x v="0"/>
    <s v="Bed"/>
    <n v="12"/>
    <n v="156"/>
    <n v="1872"/>
    <x v="2"/>
    <x v="1"/>
  </r>
  <r>
    <x v="418"/>
    <x v="69"/>
    <x v="418"/>
    <x v="0"/>
    <x v="2"/>
    <s v="Shirt"/>
    <n v="4"/>
    <n v="1803"/>
    <n v="7212"/>
    <x v="1"/>
    <x v="2"/>
  </r>
  <r>
    <x v="419"/>
    <x v="122"/>
    <x v="419"/>
    <x v="2"/>
    <x v="1"/>
    <s v="Eggs"/>
    <n v="12"/>
    <n v="1505"/>
    <n v="18060"/>
    <x v="1"/>
    <x v="4"/>
  </r>
  <r>
    <x v="420"/>
    <x v="104"/>
    <x v="420"/>
    <x v="1"/>
    <x v="3"/>
    <s v="Camera"/>
    <n v="11"/>
    <n v="1205"/>
    <n v="13255"/>
    <x v="2"/>
    <x v="1"/>
  </r>
  <r>
    <x v="421"/>
    <x v="220"/>
    <x v="421"/>
    <x v="1"/>
    <x v="0"/>
    <s v="Chair"/>
    <n v="1"/>
    <n v="124"/>
    <n v="124"/>
    <x v="2"/>
    <x v="0"/>
  </r>
  <r>
    <x v="422"/>
    <x v="216"/>
    <x v="422"/>
    <x v="3"/>
    <x v="2"/>
    <s v="Jacket"/>
    <n v="14"/>
    <n v="311"/>
    <n v="4354"/>
    <x v="3"/>
    <x v="0"/>
  </r>
  <r>
    <x v="423"/>
    <x v="59"/>
    <x v="423"/>
    <x v="3"/>
    <x v="1"/>
    <s v="Eggs"/>
    <n v="4"/>
    <n v="175"/>
    <n v="700"/>
    <x v="0"/>
    <x v="1"/>
  </r>
  <r>
    <x v="424"/>
    <x v="88"/>
    <x v="424"/>
    <x v="1"/>
    <x v="1"/>
    <s v="Rice"/>
    <n v="9"/>
    <n v="1278"/>
    <n v="11502"/>
    <x v="3"/>
    <x v="6"/>
  </r>
  <r>
    <x v="425"/>
    <x v="123"/>
    <x v="425"/>
    <x v="2"/>
    <x v="1"/>
    <s v="Rice"/>
    <n v="14"/>
    <n v="1393"/>
    <n v="19502"/>
    <x v="1"/>
    <x v="6"/>
  </r>
  <r>
    <x v="426"/>
    <x v="172"/>
    <x v="426"/>
    <x v="1"/>
    <x v="2"/>
    <s v="Shirt"/>
    <n v="16"/>
    <n v="425"/>
    <n v="6800"/>
    <x v="0"/>
    <x v="4"/>
  </r>
  <r>
    <x v="427"/>
    <x v="62"/>
    <x v="427"/>
    <x v="0"/>
    <x v="0"/>
    <s v="Bed"/>
    <n v="5"/>
    <n v="840"/>
    <n v="4200"/>
    <x v="2"/>
    <x v="6"/>
  </r>
  <r>
    <x v="428"/>
    <x v="180"/>
    <x v="428"/>
    <x v="1"/>
    <x v="3"/>
    <s v="Camera"/>
    <n v="8"/>
    <n v="631"/>
    <n v="5048"/>
    <x v="1"/>
    <x v="5"/>
  </r>
  <r>
    <x v="429"/>
    <x v="192"/>
    <x v="429"/>
    <x v="0"/>
    <x v="1"/>
    <s v="Bread"/>
    <n v="3"/>
    <n v="1264"/>
    <n v="3792"/>
    <x v="0"/>
    <x v="3"/>
  </r>
  <r>
    <x v="430"/>
    <x v="95"/>
    <x v="430"/>
    <x v="3"/>
    <x v="2"/>
    <s v="Jeans"/>
    <n v="18"/>
    <n v="1313"/>
    <n v="23634"/>
    <x v="1"/>
    <x v="6"/>
  </r>
  <r>
    <x v="431"/>
    <x v="224"/>
    <x v="431"/>
    <x v="1"/>
    <x v="3"/>
    <s v="Laptop"/>
    <n v="4"/>
    <n v="1313"/>
    <n v="5252"/>
    <x v="0"/>
    <x v="3"/>
  </r>
  <r>
    <x v="432"/>
    <x v="144"/>
    <x v="432"/>
    <x v="0"/>
    <x v="0"/>
    <s v="Bed"/>
    <n v="12"/>
    <n v="802"/>
    <n v="9624"/>
    <x v="2"/>
    <x v="1"/>
  </r>
  <r>
    <x v="433"/>
    <x v="179"/>
    <x v="433"/>
    <x v="3"/>
    <x v="1"/>
    <s v="Rice"/>
    <n v="10"/>
    <n v="464"/>
    <n v="4640"/>
    <x v="1"/>
    <x v="0"/>
  </r>
  <r>
    <x v="434"/>
    <x v="46"/>
    <x v="434"/>
    <x v="2"/>
    <x v="0"/>
    <s v="Bed"/>
    <n v="13"/>
    <n v="1061"/>
    <n v="13793"/>
    <x v="1"/>
    <x v="3"/>
  </r>
  <r>
    <x v="435"/>
    <x v="225"/>
    <x v="435"/>
    <x v="0"/>
    <x v="1"/>
    <s v="Milk"/>
    <n v="10"/>
    <n v="526"/>
    <n v="5260"/>
    <x v="0"/>
    <x v="6"/>
  </r>
  <r>
    <x v="436"/>
    <x v="102"/>
    <x v="436"/>
    <x v="1"/>
    <x v="1"/>
    <s v="Eggs"/>
    <n v="11"/>
    <n v="395"/>
    <n v="4345"/>
    <x v="0"/>
    <x v="0"/>
  </r>
  <r>
    <x v="437"/>
    <x v="3"/>
    <x v="437"/>
    <x v="2"/>
    <x v="3"/>
    <s v="Laptop"/>
    <n v="12"/>
    <n v="559"/>
    <n v="6708"/>
    <x v="1"/>
    <x v="2"/>
  </r>
  <r>
    <x v="438"/>
    <x v="101"/>
    <x v="438"/>
    <x v="3"/>
    <x v="1"/>
    <s v="Milk"/>
    <n v="7"/>
    <n v="1781"/>
    <n v="12467"/>
    <x v="0"/>
    <x v="1"/>
  </r>
  <r>
    <x v="439"/>
    <x v="226"/>
    <x v="439"/>
    <x v="1"/>
    <x v="0"/>
    <s v="Table"/>
    <n v="8"/>
    <n v="1366"/>
    <n v="10928"/>
    <x v="0"/>
    <x v="6"/>
  </r>
  <r>
    <x v="440"/>
    <x v="81"/>
    <x v="440"/>
    <x v="1"/>
    <x v="1"/>
    <s v="Milk"/>
    <n v="15"/>
    <n v="745"/>
    <n v="11175"/>
    <x v="3"/>
    <x v="2"/>
  </r>
  <r>
    <x v="441"/>
    <x v="188"/>
    <x v="441"/>
    <x v="0"/>
    <x v="1"/>
    <s v="Milk"/>
    <n v="20"/>
    <n v="1870"/>
    <n v="37400"/>
    <x v="3"/>
    <x v="2"/>
  </r>
  <r>
    <x v="442"/>
    <x v="227"/>
    <x v="442"/>
    <x v="2"/>
    <x v="0"/>
    <s v="Bed"/>
    <n v="17"/>
    <n v="1815"/>
    <n v="30855"/>
    <x v="0"/>
    <x v="0"/>
  </r>
  <r>
    <x v="443"/>
    <x v="214"/>
    <x v="443"/>
    <x v="3"/>
    <x v="0"/>
    <s v="Sofa"/>
    <n v="2"/>
    <n v="526"/>
    <n v="1052"/>
    <x v="3"/>
    <x v="5"/>
  </r>
  <r>
    <x v="444"/>
    <x v="228"/>
    <x v="444"/>
    <x v="1"/>
    <x v="1"/>
    <s v="Milk"/>
    <n v="12"/>
    <n v="1966"/>
    <n v="23592"/>
    <x v="0"/>
    <x v="6"/>
  </r>
  <r>
    <x v="445"/>
    <x v="163"/>
    <x v="445"/>
    <x v="1"/>
    <x v="2"/>
    <s v="Shoes"/>
    <n v="19"/>
    <n v="1474"/>
    <n v="28006"/>
    <x v="1"/>
    <x v="6"/>
  </r>
  <r>
    <x v="446"/>
    <x v="55"/>
    <x v="446"/>
    <x v="2"/>
    <x v="1"/>
    <s v="Milk"/>
    <n v="8"/>
    <n v="860"/>
    <n v="6880"/>
    <x v="0"/>
    <x v="0"/>
  </r>
  <r>
    <x v="447"/>
    <x v="125"/>
    <x v="447"/>
    <x v="2"/>
    <x v="1"/>
    <s v="Bread"/>
    <n v="11"/>
    <n v="1164"/>
    <n v="12804"/>
    <x v="3"/>
    <x v="4"/>
  </r>
  <r>
    <x v="448"/>
    <x v="34"/>
    <x v="448"/>
    <x v="2"/>
    <x v="1"/>
    <s v="Bread"/>
    <n v="6"/>
    <n v="216"/>
    <n v="1296"/>
    <x v="2"/>
    <x v="1"/>
  </r>
  <r>
    <x v="449"/>
    <x v="170"/>
    <x v="449"/>
    <x v="0"/>
    <x v="2"/>
    <s v="Jeans"/>
    <n v="2"/>
    <n v="230"/>
    <n v="460"/>
    <x v="0"/>
    <x v="3"/>
  </r>
  <r>
    <x v="450"/>
    <x v="211"/>
    <x v="450"/>
    <x v="1"/>
    <x v="0"/>
    <s v="Chair"/>
    <n v="19"/>
    <n v="1546"/>
    <n v="29374"/>
    <x v="1"/>
    <x v="2"/>
  </r>
  <r>
    <x v="451"/>
    <x v="46"/>
    <x v="451"/>
    <x v="1"/>
    <x v="1"/>
    <s v="Bread"/>
    <n v="16"/>
    <n v="1253"/>
    <n v="20048"/>
    <x v="0"/>
    <x v="2"/>
  </r>
  <r>
    <x v="452"/>
    <x v="130"/>
    <x v="452"/>
    <x v="3"/>
    <x v="1"/>
    <s v="Milk"/>
    <n v="18"/>
    <n v="1748"/>
    <n v="31464"/>
    <x v="0"/>
    <x v="2"/>
  </r>
  <r>
    <x v="453"/>
    <x v="8"/>
    <x v="453"/>
    <x v="2"/>
    <x v="0"/>
    <s v="Sofa"/>
    <n v="16"/>
    <n v="1302"/>
    <n v="20832"/>
    <x v="1"/>
    <x v="2"/>
  </r>
  <r>
    <x v="454"/>
    <x v="198"/>
    <x v="454"/>
    <x v="2"/>
    <x v="1"/>
    <s v="Rice"/>
    <n v="19"/>
    <n v="1727"/>
    <n v="32813"/>
    <x v="1"/>
    <x v="4"/>
  </r>
  <r>
    <x v="455"/>
    <x v="156"/>
    <x v="455"/>
    <x v="0"/>
    <x v="1"/>
    <s v="Milk"/>
    <n v="11"/>
    <n v="1418"/>
    <n v="15598"/>
    <x v="2"/>
    <x v="3"/>
  </r>
  <r>
    <x v="456"/>
    <x v="181"/>
    <x v="456"/>
    <x v="0"/>
    <x v="0"/>
    <s v="Sofa"/>
    <n v="15"/>
    <n v="193"/>
    <n v="2895"/>
    <x v="3"/>
    <x v="1"/>
  </r>
  <r>
    <x v="457"/>
    <x v="221"/>
    <x v="457"/>
    <x v="3"/>
    <x v="0"/>
    <s v="Table"/>
    <n v="4"/>
    <n v="505"/>
    <n v="2020"/>
    <x v="2"/>
    <x v="3"/>
  </r>
  <r>
    <x v="458"/>
    <x v="229"/>
    <x v="458"/>
    <x v="0"/>
    <x v="3"/>
    <s v="Camera"/>
    <n v="12"/>
    <n v="1388"/>
    <n v="16656"/>
    <x v="1"/>
    <x v="4"/>
  </r>
  <r>
    <x v="459"/>
    <x v="102"/>
    <x v="459"/>
    <x v="0"/>
    <x v="3"/>
    <s v="Camera"/>
    <n v="14"/>
    <n v="286"/>
    <n v="4004"/>
    <x v="1"/>
    <x v="3"/>
  </r>
  <r>
    <x v="460"/>
    <x v="160"/>
    <x v="460"/>
    <x v="3"/>
    <x v="3"/>
    <s v="Headphones"/>
    <n v="18"/>
    <n v="1878"/>
    <n v="33804"/>
    <x v="3"/>
    <x v="2"/>
  </r>
  <r>
    <x v="461"/>
    <x v="230"/>
    <x v="461"/>
    <x v="1"/>
    <x v="0"/>
    <s v="Sofa"/>
    <n v="13"/>
    <n v="1867"/>
    <n v="24271"/>
    <x v="1"/>
    <x v="3"/>
  </r>
  <r>
    <x v="462"/>
    <x v="140"/>
    <x v="462"/>
    <x v="2"/>
    <x v="0"/>
    <s v="Sofa"/>
    <n v="16"/>
    <n v="1659"/>
    <n v="26544"/>
    <x v="3"/>
    <x v="3"/>
  </r>
  <r>
    <x v="463"/>
    <x v="56"/>
    <x v="463"/>
    <x v="3"/>
    <x v="2"/>
    <s v="Jacket"/>
    <n v="12"/>
    <n v="1933"/>
    <n v="23196"/>
    <x v="2"/>
    <x v="1"/>
  </r>
  <r>
    <x v="464"/>
    <x v="46"/>
    <x v="464"/>
    <x v="3"/>
    <x v="2"/>
    <s v="Jeans"/>
    <n v="19"/>
    <n v="480"/>
    <n v="9120"/>
    <x v="0"/>
    <x v="6"/>
  </r>
  <r>
    <x v="465"/>
    <x v="52"/>
    <x v="465"/>
    <x v="3"/>
    <x v="0"/>
    <s v="Table"/>
    <n v="19"/>
    <n v="492"/>
    <n v="9348"/>
    <x v="2"/>
    <x v="0"/>
  </r>
  <r>
    <x v="466"/>
    <x v="61"/>
    <x v="466"/>
    <x v="1"/>
    <x v="1"/>
    <s v="Milk"/>
    <n v="1"/>
    <n v="701"/>
    <n v="701"/>
    <x v="0"/>
    <x v="3"/>
  </r>
  <r>
    <x v="467"/>
    <x v="149"/>
    <x v="467"/>
    <x v="3"/>
    <x v="2"/>
    <s v="Shirt"/>
    <n v="2"/>
    <n v="230"/>
    <n v="460"/>
    <x v="0"/>
    <x v="3"/>
  </r>
  <r>
    <x v="468"/>
    <x v="146"/>
    <x v="468"/>
    <x v="2"/>
    <x v="1"/>
    <s v="Rice"/>
    <n v="17"/>
    <n v="515"/>
    <n v="8755"/>
    <x v="1"/>
    <x v="5"/>
  </r>
  <r>
    <x v="469"/>
    <x v="90"/>
    <x v="469"/>
    <x v="2"/>
    <x v="1"/>
    <s v="Bread"/>
    <n v="9"/>
    <n v="1159"/>
    <n v="10431"/>
    <x v="3"/>
    <x v="2"/>
  </r>
  <r>
    <x v="470"/>
    <x v="45"/>
    <x v="470"/>
    <x v="0"/>
    <x v="2"/>
    <s v="Shirt"/>
    <n v="1"/>
    <n v="1890"/>
    <n v="1890"/>
    <x v="3"/>
    <x v="0"/>
  </r>
  <r>
    <x v="471"/>
    <x v="25"/>
    <x v="471"/>
    <x v="0"/>
    <x v="2"/>
    <s v="Shirt"/>
    <n v="11"/>
    <n v="205"/>
    <n v="2255"/>
    <x v="3"/>
    <x v="3"/>
  </r>
  <r>
    <x v="472"/>
    <x v="231"/>
    <x v="472"/>
    <x v="1"/>
    <x v="1"/>
    <s v="Bread"/>
    <n v="2"/>
    <n v="1578"/>
    <n v="3156"/>
    <x v="2"/>
    <x v="3"/>
  </r>
  <r>
    <x v="473"/>
    <x v="0"/>
    <x v="473"/>
    <x v="3"/>
    <x v="0"/>
    <s v="Bed"/>
    <n v="5"/>
    <n v="1003"/>
    <n v="5015"/>
    <x v="1"/>
    <x v="4"/>
  </r>
  <r>
    <x v="474"/>
    <x v="232"/>
    <x v="474"/>
    <x v="2"/>
    <x v="3"/>
    <s v="Laptop"/>
    <n v="20"/>
    <n v="968"/>
    <n v="19360"/>
    <x v="3"/>
    <x v="0"/>
  </r>
  <r>
    <x v="475"/>
    <x v="166"/>
    <x v="475"/>
    <x v="0"/>
    <x v="2"/>
    <s v="Shirt"/>
    <n v="20"/>
    <n v="1463"/>
    <n v="29260"/>
    <x v="0"/>
    <x v="5"/>
  </r>
  <r>
    <x v="476"/>
    <x v="50"/>
    <x v="476"/>
    <x v="1"/>
    <x v="0"/>
    <s v="Bed"/>
    <n v="9"/>
    <n v="1050"/>
    <n v="9450"/>
    <x v="1"/>
    <x v="3"/>
  </r>
  <r>
    <x v="477"/>
    <x v="233"/>
    <x v="477"/>
    <x v="2"/>
    <x v="3"/>
    <s v="Mobile"/>
    <n v="9"/>
    <n v="166"/>
    <n v="1494"/>
    <x v="3"/>
    <x v="4"/>
  </r>
  <r>
    <x v="478"/>
    <x v="46"/>
    <x v="478"/>
    <x v="3"/>
    <x v="2"/>
    <s v="Shirt"/>
    <n v="8"/>
    <n v="1830"/>
    <n v="14640"/>
    <x v="0"/>
    <x v="6"/>
  </r>
  <r>
    <x v="479"/>
    <x v="72"/>
    <x v="479"/>
    <x v="1"/>
    <x v="0"/>
    <s v="Bed"/>
    <n v="5"/>
    <n v="1964"/>
    <n v="9820"/>
    <x v="1"/>
    <x v="4"/>
  </r>
  <r>
    <x v="480"/>
    <x v="234"/>
    <x v="480"/>
    <x v="2"/>
    <x v="0"/>
    <s v="Table"/>
    <n v="9"/>
    <n v="231"/>
    <n v="2079"/>
    <x v="2"/>
    <x v="6"/>
  </r>
  <r>
    <x v="481"/>
    <x v="174"/>
    <x v="481"/>
    <x v="0"/>
    <x v="1"/>
    <s v="Milk"/>
    <n v="3"/>
    <n v="1762"/>
    <n v="5286"/>
    <x v="1"/>
    <x v="5"/>
  </r>
  <r>
    <x v="482"/>
    <x v="131"/>
    <x v="482"/>
    <x v="0"/>
    <x v="2"/>
    <s v="Jeans"/>
    <n v="5"/>
    <n v="1438"/>
    <n v="7190"/>
    <x v="2"/>
    <x v="1"/>
  </r>
  <r>
    <x v="483"/>
    <x v="88"/>
    <x v="483"/>
    <x v="0"/>
    <x v="1"/>
    <s v="Eggs"/>
    <n v="10"/>
    <n v="1729"/>
    <n v="17290"/>
    <x v="0"/>
    <x v="2"/>
  </r>
  <r>
    <x v="484"/>
    <x v="210"/>
    <x v="484"/>
    <x v="1"/>
    <x v="1"/>
    <s v="Milk"/>
    <n v="10"/>
    <n v="1761"/>
    <n v="17610"/>
    <x v="3"/>
    <x v="5"/>
  </r>
  <r>
    <x v="485"/>
    <x v="235"/>
    <x v="485"/>
    <x v="2"/>
    <x v="0"/>
    <s v="Sofa"/>
    <n v="12"/>
    <n v="840"/>
    <n v="10080"/>
    <x v="1"/>
    <x v="1"/>
  </r>
  <r>
    <x v="486"/>
    <x v="236"/>
    <x v="486"/>
    <x v="3"/>
    <x v="0"/>
    <s v="Sofa"/>
    <n v="17"/>
    <n v="551"/>
    <n v="9367"/>
    <x v="1"/>
    <x v="5"/>
  </r>
  <r>
    <x v="487"/>
    <x v="62"/>
    <x v="487"/>
    <x v="0"/>
    <x v="1"/>
    <s v="Eggs"/>
    <n v="20"/>
    <n v="221"/>
    <n v="4420"/>
    <x v="3"/>
    <x v="1"/>
  </r>
  <r>
    <x v="488"/>
    <x v="9"/>
    <x v="488"/>
    <x v="3"/>
    <x v="1"/>
    <s v="Rice"/>
    <n v="8"/>
    <n v="1744"/>
    <n v="13952"/>
    <x v="3"/>
    <x v="3"/>
  </r>
  <r>
    <x v="489"/>
    <x v="152"/>
    <x v="489"/>
    <x v="3"/>
    <x v="0"/>
    <s v="Chair"/>
    <n v="6"/>
    <n v="1187"/>
    <n v="7122"/>
    <x v="2"/>
    <x v="2"/>
  </r>
  <r>
    <x v="490"/>
    <x v="172"/>
    <x v="490"/>
    <x v="1"/>
    <x v="0"/>
    <s v="Sofa"/>
    <n v="15"/>
    <n v="1497"/>
    <n v="22455"/>
    <x v="1"/>
    <x v="1"/>
  </r>
  <r>
    <x v="491"/>
    <x v="86"/>
    <x v="491"/>
    <x v="2"/>
    <x v="3"/>
    <s v="Laptop"/>
    <n v="14"/>
    <n v="1011"/>
    <n v="14154"/>
    <x v="0"/>
    <x v="6"/>
  </r>
  <r>
    <x v="492"/>
    <x v="53"/>
    <x v="492"/>
    <x v="2"/>
    <x v="2"/>
    <s v="Jacket"/>
    <n v="20"/>
    <n v="1473"/>
    <n v="29460"/>
    <x v="1"/>
    <x v="1"/>
  </r>
  <r>
    <x v="493"/>
    <x v="149"/>
    <x v="493"/>
    <x v="0"/>
    <x v="0"/>
    <s v="Chair"/>
    <n v="15"/>
    <n v="1669"/>
    <n v="25035"/>
    <x v="1"/>
    <x v="5"/>
  </r>
  <r>
    <x v="494"/>
    <x v="141"/>
    <x v="494"/>
    <x v="3"/>
    <x v="1"/>
    <s v="Bread"/>
    <n v="20"/>
    <n v="1646"/>
    <n v="32920"/>
    <x v="2"/>
    <x v="1"/>
  </r>
  <r>
    <x v="495"/>
    <x v="34"/>
    <x v="495"/>
    <x v="1"/>
    <x v="2"/>
    <s v="Jeans"/>
    <n v="18"/>
    <n v="1685"/>
    <n v="30330"/>
    <x v="3"/>
    <x v="4"/>
  </r>
  <r>
    <x v="496"/>
    <x v="191"/>
    <x v="496"/>
    <x v="0"/>
    <x v="2"/>
    <s v="Jacket"/>
    <n v="15"/>
    <n v="701"/>
    <n v="10515"/>
    <x v="3"/>
    <x v="4"/>
  </r>
  <r>
    <x v="497"/>
    <x v="146"/>
    <x v="497"/>
    <x v="3"/>
    <x v="0"/>
    <s v="Bed"/>
    <n v="8"/>
    <n v="1196"/>
    <n v="9568"/>
    <x v="3"/>
    <x v="0"/>
  </r>
  <r>
    <x v="498"/>
    <x v="147"/>
    <x v="498"/>
    <x v="2"/>
    <x v="2"/>
    <s v="Shirt"/>
    <n v="11"/>
    <n v="1751"/>
    <n v="19261"/>
    <x v="0"/>
    <x v="6"/>
  </r>
  <r>
    <x v="499"/>
    <x v="167"/>
    <x v="499"/>
    <x v="0"/>
    <x v="2"/>
    <s v="Shirt"/>
    <n v="17"/>
    <n v="472"/>
    <n v="8024"/>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45993-F2DD-4BE1-8D7F-AB6AEBB6E67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10:J31" firstHeaderRow="1" firstDataRow="1" firstDataCol="1"/>
  <pivotFields count="11">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238">
        <item x="125"/>
        <item x="161"/>
        <item x="205"/>
        <item x="148"/>
        <item x="32"/>
        <item x="197"/>
        <item x="48"/>
        <item x="135"/>
        <item x="171"/>
        <item x="119"/>
        <item x="118"/>
        <item x="108"/>
        <item x="38"/>
        <item x="213"/>
        <item x="7"/>
        <item x="11"/>
        <item x="78"/>
        <item x="129"/>
        <item x="139"/>
        <item x="120"/>
        <item x="130"/>
        <item x="109"/>
        <item x="83"/>
        <item x="41"/>
        <item x="104"/>
        <item x="112"/>
        <item x="42"/>
        <item x="223"/>
        <item x="114"/>
        <item x="230"/>
        <item x="219"/>
        <item x="20"/>
        <item x="192"/>
        <item x="73"/>
        <item x="93"/>
        <item x="228"/>
        <item x="147"/>
        <item x="23"/>
        <item x="103"/>
        <item x="66"/>
        <item x="18"/>
        <item x="187"/>
        <item x="173"/>
        <item x="100"/>
        <item x="196"/>
        <item x="214"/>
        <item x="62"/>
        <item x="65"/>
        <item x="37"/>
        <item x="201"/>
        <item x="49"/>
        <item x="149"/>
        <item x="137"/>
        <item x="26"/>
        <item x="6"/>
        <item x="105"/>
        <item x="142"/>
        <item x="183"/>
        <item x="136"/>
        <item x="224"/>
        <item x="203"/>
        <item x="124"/>
        <item x="193"/>
        <item x="115"/>
        <item x="202"/>
        <item x="84"/>
        <item x="155"/>
        <item x="188"/>
        <item x="13"/>
        <item x="55"/>
        <item x="140"/>
        <item x="198"/>
        <item x="24"/>
        <item x="220"/>
        <item x="168"/>
        <item x="153"/>
        <item x="86"/>
        <item x="191"/>
        <item x="4"/>
        <item x="63"/>
        <item x="222"/>
        <item x="236"/>
        <item x="128"/>
        <item x="141"/>
        <item x="212"/>
        <item x="157"/>
        <item x="116"/>
        <item x="19"/>
        <item x="210"/>
        <item x="94"/>
        <item x="25"/>
        <item x="15"/>
        <item x="87"/>
        <item x="182"/>
        <item x="150"/>
        <item x="64"/>
        <item x="60"/>
        <item x="29"/>
        <item x="127"/>
        <item x="106"/>
        <item x="50"/>
        <item x="90"/>
        <item x="91"/>
        <item x="79"/>
        <item x="229"/>
        <item x="110"/>
        <item x="160"/>
        <item x="154"/>
        <item x="218"/>
        <item x="123"/>
        <item x="200"/>
        <item x="163"/>
        <item x="76"/>
        <item x="217"/>
        <item x="45"/>
        <item x="199"/>
        <item x="204"/>
        <item x="159"/>
        <item x="89"/>
        <item x="46"/>
        <item x="36"/>
        <item x="209"/>
        <item x="40"/>
        <item x="138"/>
        <item x="144"/>
        <item x="98"/>
        <item x="102"/>
        <item x="8"/>
        <item x="92"/>
        <item x="194"/>
        <item x="54"/>
        <item x="232"/>
        <item x="170"/>
        <item x="151"/>
        <item x="122"/>
        <item x="53"/>
        <item x="97"/>
        <item x="152"/>
        <item x="34"/>
        <item x="22"/>
        <item x="57"/>
        <item x="5"/>
        <item x="132"/>
        <item x="51"/>
        <item x="0"/>
        <item x="180"/>
        <item x="81"/>
        <item x="186"/>
        <item x="207"/>
        <item x="71"/>
        <item x="77"/>
        <item x="184"/>
        <item x="35"/>
        <item x="58"/>
        <item x="61"/>
        <item x="17"/>
        <item x="145"/>
        <item x="162"/>
        <item x="74"/>
        <item x="221"/>
        <item x="2"/>
        <item x="3"/>
        <item x="166"/>
        <item x="208"/>
        <item x="165"/>
        <item x="131"/>
        <item x="158"/>
        <item x="111"/>
        <item x="80"/>
        <item x="177"/>
        <item x="234"/>
        <item x="28"/>
        <item x="126"/>
        <item x="59"/>
        <item x="215"/>
        <item x="133"/>
        <item x="101"/>
        <item x="47"/>
        <item x="12"/>
        <item x="117"/>
        <item x="31"/>
        <item x="30"/>
        <item x="174"/>
        <item x="39"/>
        <item x="21"/>
        <item x="82"/>
        <item x="70"/>
        <item x="95"/>
        <item x="143"/>
        <item x="175"/>
        <item x="178"/>
        <item x="96"/>
        <item x="164"/>
        <item x="69"/>
        <item x="231"/>
        <item x="56"/>
        <item x="181"/>
        <item x="185"/>
        <item x="33"/>
        <item x="10"/>
        <item x="67"/>
        <item x="167"/>
        <item x="235"/>
        <item x="195"/>
        <item x="68"/>
        <item x="233"/>
        <item x="75"/>
        <item x="113"/>
        <item x="72"/>
        <item x="216"/>
        <item x="156"/>
        <item x="190"/>
        <item x="9"/>
        <item x="225"/>
        <item x="1"/>
        <item x="179"/>
        <item x="172"/>
        <item x="43"/>
        <item x="134"/>
        <item x="206"/>
        <item x="44"/>
        <item x="176"/>
        <item x="227"/>
        <item x="226"/>
        <item x="189"/>
        <item x="88"/>
        <item x="211"/>
        <item x="14"/>
        <item x="85"/>
        <item x="16"/>
        <item x="107"/>
        <item x="121"/>
        <item x="27"/>
        <item x="146"/>
        <item x="99"/>
        <item x="52"/>
        <item x="169"/>
        <item t="default"/>
      </items>
    </pivotField>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5">
        <item x="3"/>
        <item x="1"/>
        <item x="2"/>
        <item x="0"/>
        <item t="default"/>
      </items>
    </pivotField>
    <pivotField axis="axisRow" showAll="0">
      <items count="5">
        <item x="2"/>
        <item x="3"/>
        <item x="0"/>
        <item x="1"/>
        <item t="default"/>
      </items>
    </pivotField>
    <pivotField showAll="0"/>
    <pivotField showAll="0"/>
    <pivotField dataField="1" showAll="0"/>
    <pivotField showAll="0"/>
    <pivotField showAll="0">
      <items count="5">
        <item x="3"/>
        <item x="0"/>
        <item x="1"/>
        <item x="2"/>
        <item t="default"/>
      </items>
    </pivotField>
    <pivotField showAll="0">
      <items count="8">
        <item x="4"/>
        <item x="1"/>
        <item x="3"/>
        <item x="6"/>
        <item x="2"/>
        <item x="5"/>
        <item x="0"/>
        <item t="default"/>
      </items>
    </pivotField>
  </pivotFields>
  <rowFields count="2">
    <field x="3"/>
    <field x="4"/>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Unit Price" fld="7" baseField="0" baseItem="0"/>
  </dataFields>
  <chartFormats count="1">
    <chartFormat chart="13" format="8" series="1">
      <pivotArea type="data" outline="0" fieldPosition="0">
        <references count="1">
          <reference field="4294967294" count="1" selected="0">
            <x v="0"/>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98E512-F6FC-4A17-9E69-0BAC060CFF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7" firstHeaderRow="1" firstDataRow="1" firstDataCol="1"/>
  <pivotFields count="11">
    <pivotField showAll="0"/>
    <pivotField showAll="0"/>
    <pivotField showAll="0"/>
    <pivotField axis="axisRow" showAll="0">
      <items count="5">
        <item x="3"/>
        <item x="1"/>
        <item x="2"/>
        <item x="0"/>
        <item t="default"/>
      </items>
    </pivotField>
    <pivotField showAll="0">
      <items count="5">
        <item x="2"/>
        <item x="3"/>
        <item x="0"/>
        <item x="1"/>
        <item t="default"/>
      </items>
    </pivotField>
    <pivotField showAll="0"/>
    <pivotField showAll="0"/>
    <pivotField showAll="0"/>
    <pivotField dataField="1" showAll="0"/>
    <pivotField showAll="0">
      <items count="5">
        <item x="3"/>
        <item x="0"/>
        <item x="1"/>
        <item x="2"/>
        <item t="default"/>
      </items>
    </pivotField>
    <pivotField showAll="0">
      <items count="8">
        <item x="4"/>
        <item x="1"/>
        <item x="3"/>
        <item x="6"/>
        <item x="2"/>
        <item x="5"/>
        <item x="0"/>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776A7A-18D2-4E36-9FBD-6121DA71239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2:K7" firstHeaderRow="0" firstDataRow="1" firstDataCol="1"/>
  <pivotFields count="11">
    <pivotField showAll="0"/>
    <pivotField showAll="0"/>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5">
        <item x="3"/>
        <item x="1"/>
        <item x="2"/>
        <item x="0"/>
        <item t="default"/>
      </items>
    </pivotField>
    <pivotField showAll="0"/>
    <pivotField showAll="0"/>
    <pivotField showAll="0"/>
    <pivotField dataField="1" showAll="0"/>
    <pivotField dataField="1" showAll="0"/>
    <pivotField axis="axisRow" showAll="0">
      <items count="5">
        <item x="3"/>
        <item x="0"/>
        <item x="1"/>
        <item x="2"/>
        <item t="default"/>
      </items>
    </pivotField>
    <pivotField showAll="0">
      <items count="8">
        <item x="4"/>
        <item x="1"/>
        <item x="3"/>
        <item x="6"/>
        <item x="2"/>
        <item x="5"/>
        <item x="0"/>
        <item t="default"/>
      </items>
    </pivotField>
  </pivotFields>
  <rowFields count="1">
    <field x="9"/>
  </rowFields>
  <rowItems count="5">
    <i>
      <x/>
    </i>
    <i>
      <x v="1"/>
    </i>
    <i>
      <x v="2"/>
    </i>
    <i>
      <x v="3"/>
    </i>
    <i t="grand">
      <x/>
    </i>
  </rowItems>
  <colFields count="1">
    <field x="-2"/>
  </colFields>
  <colItems count="2">
    <i>
      <x/>
    </i>
    <i i="1">
      <x v="1"/>
    </i>
  </colItems>
  <dataFields count="2">
    <dataField name="Sum of Total Sales" fld="8" baseField="0" baseItem="0"/>
    <dataField name="Sum of Unit Price" fld="7" baseField="0" baseItem="0"/>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0EE60C-2CE2-4455-830C-DE5B0D2F18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0:F28" firstHeaderRow="1" firstDataRow="1" firstDataCol="1"/>
  <pivotFields count="11">
    <pivotField showAll="0"/>
    <pivotField showAll="0"/>
    <pivotField showAll="0"/>
    <pivotField showAll="0">
      <items count="5">
        <item x="3"/>
        <item x="1"/>
        <item x="2"/>
        <item x="0"/>
        <item t="default"/>
      </items>
    </pivotField>
    <pivotField showAll="0"/>
    <pivotField showAll="0"/>
    <pivotField showAll="0"/>
    <pivotField showAll="0"/>
    <pivotField dataField="1" showAll="0"/>
    <pivotField showAll="0">
      <items count="5">
        <item x="3"/>
        <item x="0"/>
        <item x="1"/>
        <item x="2"/>
        <item t="default"/>
      </items>
    </pivotField>
    <pivotField axis="axisRow" showAll="0">
      <items count="8">
        <item x="4"/>
        <item x="1"/>
        <item x="3"/>
        <item x="6"/>
        <item x="2"/>
        <item x="5"/>
        <item x="0"/>
        <item t="default"/>
      </items>
    </pivotField>
  </pivotFields>
  <rowFields count="1">
    <field x="10"/>
  </rowFields>
  <rowItems count="8">
    <i>
      <x/>
    </i>
    <i>
      <x v="1"/>
    </i>
    <i>
      <x v="2"/>
    </i>
    <i>
      <x v="3"/>
    </i>
    <i>
      <x v="4"/>
    </i>
    <i>
      <x v="5"/>
    </i>
    <i>
      <x v="6"/>
    </i>
    <i t="grand">
      <x/>
    </i>
  </rowItems>
  <colItems count="1">
    <i/>
  </colItems>
  <dataFields count="1">
    <dataField name="Sum of Total Sales" fld="8"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A07DA-5EC0-45C0-93A6-7E58C85834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0:B25" firstHeaderRow="1" firstDataRow="1" firstDataCol="1"/>
  <pivotFields count="11">
    <pivotField showAll="0"/>
    <pivotField showAll="0"/>
    <pivotField showAll="0"/>
    <pivotField showAll="0">
      <items count="5">
        <item x="3"/>
        <item x="1"/>
        <item x="2"/>
        <item x="0"/>
        <item t="default"/>
      </items>
    </pivotField>
    <pivotField axis="axisRow" showAll="0">
      <items count="5">
        <item x="2"/>
        <item x="3"/>
        <item x="0"/>
        <item x="1"/>
        <item t="default"/>
      </items>
    </pivotField>
    <pivotField showAll="0"/>
    <pivotField showAll="0"/>
    <pivotField showAll="0"/>
    <pivotField dataField="1" showAll="0"/>
    <pivotField showAll="0">
      <items count="5">
        <item x="3"/>
        <item x="0"/>
        <item x="1"/>
        <item x="2"/>
        <item t="default"/>
      </items>
    </pivotField>
    <pivotField showAll="0">
      <items count="8">
        <item x="4"/>
        <item x="1"/>
        <item x="3"/>
        <item x="6"/>
        <item x="2"/>
        <item x="5"/>
        <item x="0"/>
        <item t="default"/>
      </items>
    </pivotField>
  </pivotFields>
  <rowFields count="1">
    <field x="4"/>
  </rowFields>
  <rowItems count="5">
    <i>
      <x/>
    </i>
    <i>
      <x v="1"/>
    </i>
    <i>
      <x v="2"/>
    </i>
    <i>
      <x v="3"/>
    </i>
    <i t="grand">
      <x/>
    </i>
  </rowItems>
  <colItems count="1">
    <i/>
  </colItems>
  <dataFields count="1">
    <dataField name="Sum of Total Sales" fld="8" baseField="0" baseItem="0"/>
  </dataFields>
  <chartFormats count="5">
    <chartFormat chart="23" format="18" series="1">
      <pivotArea type="data" outline="0" fieldPosition="0">
        <references count="1">
          <reference field="4294967294" count="1" selected="0">
            <x v="0"/>
          </reference>
        </references>
      </pivotArea>
    </chartFormat>
    <chartFormat chart="23" format="19">
      <pivotArea type="data" outline="0" fieldPosition="0">
        <references count="2">
          <reference field="4294967294" count="1" selected="0">
            <x v="0"/>
          </reference>
          <reference field="4" count="1" selected="0">
            <x v="0"/>
          </reference>
        </references>
      </pivotArea>
    </chartFormat>
    <chartFormat chart="23" format="20">
      <pivotArea type="data" outline="0" fieldPosition="0">
        <references count="2">
          <reference field="4294967294" count="1" selected="0">
            <x v="0"/>
          </reference>
          <reference field="4" count="1" selected="0">
            <x v="1"/>
          </reference>
        </references>
      </pivotArea>
    </chartFormat>
    <chartFormat chart="23" format="21">
      <pivotArea type="data" outline="0" fieldPosition="0">
        <references count="2">
          <reference field="4294967294" count="1" selected="0">
            <x v="0"/>
          </reference>
          <reference field="4" count="1" selected="0">
            <x v="2"/>
          </reference>
        </references>
      </pivotArea>
    </chartFormat>
    <chartFormat chart="23" format="22">
      <pivotArea type="data" outline="0" fieldPosition="0">
        <references count="2">
          <reference field="4294967294" count="1" selected="0">
            <x v="0"/>
          </reference>
          <reference field="4" count="1" selected="0">
            <x v="3"/>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2E87A9-9EDD-4DD7-9A02-1494D6CC4D5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2:F14" firstHeaderRow="1" firstDataRow="1" firstDataCol="1"/>
  <pivotFields count="11">
    <pivotField showAll="0"/>
    <pivotField axis="axisRow" showAll="0">
      <items count="238">
        <item x="125"/>
        <item h="1" x="161"/>
        <item h="1" x="205"/>
        <item h="1" x="148"/>
        <item h="1" x="32"/>
        <item h="1" x="197"/>
        <item h="1" x="48"/>
        <item h="1" x="135"/>
        <item h="1" x="171"/>
        <item h="1" x="119"/>
        <item h="1" x="118"/>
        <item h="1" x="108"/>
        <item h="1" x="38"/>
        <item h="1" x="213"/>
        <item h="1" x="7"/>
        <item h="1" x="11"/>
        <item h="1" x="78"/>
        <item h="1" x="129"/>
        <item h="1" x="139"/>
        <item h="1" x="120"/>
        <item h="1" x="130"/>
        <item h="1" x="109"/>
        <item h="1" x="83"/>
        <item h="1" x="41"/>
        <item h="1" x="104"/>
        <item h="1" x="112"/>
        <item x="42"/>
        <item h="1" x="223"/>
        <item h="1" x="114"/>
        <item h="1" x="230"/>
        <item h="1" x="219"/>
        <item h="1" x="20"/>
        <item h="1" x="192"/>
        <item h="1" x="73"/>
        <item h="1" x="93"/>
        <item h="1" x="228"/>
        <item h="1" x="147"/>
        <item h="1" x="23"/>
        <item h="1" x="103"/>
        <item h="1" x="66"/>
        <item h="1" x="18"/>
        <item x="187"/>
        <item h="1" x="173"/>
        <item h="1" x="100"/>
        <item h="1" x="196"/>
        <item h="1" x="214"/>
        <item h="1" x="62"/>
        <item h="1" x="65"/>
        <item h="1" x="37"/>
        <item h="1" x="201"/>
        <item h="1" x="49"/>
        <item h="1" x="149"/>
        <item h="1" x="137"/>
        <item h="1" x="26"/>
        <item h="1" x="6"/>
        <item h="1" x="105"/>
        <item h="1" x="142"/>
        <item h="1" x="183"/>
        <item h="1" x="136"/>
        <item h="1" x="224"/>
        <item h="1" x="203"/>
        <item h="1" x="124"/>
        <item h="1" x="193"/>
        <item h="1" x="115"/>
        <item h="1" x="202"/>
        <item h="1" x="84"/>
        <item h="1" x="155"/>
        <item h="1" x="188"/>
        <item h="1" x="13"/>
        <item h="1" x="55"/>
        <item h="1" x="140"/>
        <item h="1" x="198"/>
        <item h="1" x="24"/>
        <item h="1" x="220"/>
        <item h="1" x="168"/>
        <item h="1" x="153"/>
        <item h="1" x="86"/>
        <item h="1" x="191"/>
        <item h="1" x="4"/>
        <item h="1" x="63"/>
        <item h="1" x="222"/>
        <item h="1" x="236"/>
        <item h="1" x="128"/>
        <item h="1" x="141"/>
        <item h="1" x="212"/>
        <item h="1" x="157"/>
        <item h="1" x="116"/>
        <item x="19"/>
        <item h="1" x="210"/>
        <item h="1" x="94"/>
        <item h="1" x="25"/>
        <item h="1" x="15"/>
        <item h="1" x="87"/>
        <item h="1" x="182"/>
        <item h="1" x="150"/>
        <item h="1" x="64"/>
        <item h="1" x="60"/>
        <item h="1" x="29"/>
        <item h="1" x="127"/>
        <item h="1" x="106"/>
        <item h="1" x="50"/>
        <item h="1" x="90"/>
        <item h="1" x="91"/>
        <item h="1" x="79"/>
        <item h="1" x="229"/>
        <item h="1" x="110"/>
        <item h="1" x="160"/>
        <item h="1" x="154"/>
        <item h="1" x="218"/>
        <item h="1" x="123"/>
        <item h="1" x="200"/>
        <item h="1" x="163"/>
        <item x="76"/>
        <item h="1" x="217"/>
        <item h="1" x="45"/>
        <item h="1" x="199"/>
        <item h="1" x="204"/>
        <item h="1" x="159"/>
        <item h="1" x="89"/>
        <item h="1" x="46"/>
        <item h="1" x="36"/>
        <item h="1" x="209"/>
        <item h="1" x="40"/>
        <item h="1" x="138"/>
        <item h="1" x="144"/>
        <item h="1" x="98"/>
        <item h="1" x="102"/>
        <item h="1" x="8"/>
        <item h="1" x="92"/>
        <item h="1" x="194"/>
        <item h="1" x="54"/>
        <item h="1" x="232"/>
        <item h="1" x="170"/>
        <item h="1" x="151"/>
        <item h="1" x="122"/>
        <item h="1" x="53"/>
        <item h="1" x="97"/>
        <item x="152"/>
        <item h="1" x="34"/>
        <item h="1" x="22"/>
        <item h="1" x="57"/>
        <item h="1" x="5"/>
        <item h="1" x="132"/>
        <item h="1" x="51"/>
        <item h="1" x="0"/>
        <item h="1" x="180"/>
        <item h="1" x="81"/>
        <item h="1" x="186"/>
        <item h="1" x="207"/>
        <item h="1" x="71"/>
        <item h="1" x="77"/>
        <item h="1" x="184"/>
        <item h="1" x="35"/>
        <item h="1" x="58"/>
        <item h="1" x="61"/>
        <item h="1" x="17"/>
        <item h="1" x="145"/>
        <item h="1" x="162"/>
        <item x="74"/>
        <item h="1" x="221"/>
        <item h="1" x="2"/>
        <item h="1" x="3"/>
        <item x="166"/>
        <item h="1" x="208"/>
        <item h="1" x="165"/>
        <item h="1" x="131"/>
        <item h="1" x="158"/>
        <item h="1" x="111"/>
        <item h="1" x="80"/>
        <item h="1" x="177"/>
        <item h="1" x="234"/>
        <item h="1" x="28"/>
        <item h="1" x="126"/>
        <item h="1" x="59"/>
        <item h="1" x="215"/>
        <item h="1" x="133"/>
        <item h="1" x="101"/>
        <item h="1" x="47"/>
        <item h="1" x="12"/>
        <item h="1" x="117"/>
        <item h="1" x="31"/>
        <item h="1" x="30"/>
        <item h="1" x="174"/>
        <item h="1" x="39"/>
        <item h="1" x="21"/>
        <item h="1" x="82"/>
        <item h="1" x="70"/>
        <item h="1" x="95"/>
        <item h="1" x="143"/>
        <item x="175"/>
        <item h="1" x="178"/>
        <item h="1" x="96"/>
        <item h="1" x="164"/>
        <item h="1" x="69"/>
        <item h="1" x="231"/>
        <item h="1" x="56"/>
        <item h="1" x="181"/>
        <item h="1" x="185"/>
        <item h="1" x="33"/>
        <item h="1" x="10"/>
        <item h="1" x="67"/>
        <item h="1" x="167"/>
        <item h="1" x="235"/>
        <item h="1" x="195"/>
        <item h="1" x="68"/>
        <item h="1" x="233"/>
        <item h="1" x="75"/>
        <item h="1" x="113"/>
        <item h="1" x="72"/>
        <item h="1" x="216"/>
        <item h="1" x="156"/>
        <item h="1" x="190"/>
        <item h="1" x="9"/>
        <item h="1" x="225"/>
        <item h="1" x="1"/>
        <item h="1" x="179"/>
        <item x="172"/>
        <item h="1" x="43"/>
        <item h="1" x="134"/>
        <item h="1" x="206"/>
        <item h="1" x="44"/>
        <item h="1" x="176"/>
        <item h="1" x="227"/>
        <item h="1" x="226"/>
        <item h="1" x="189"/>
        <item h="1" x="88"/>
        <item h="1" x="211"/>
        <item h="1" x="14"/>
        <item h="1" x="85"/>
        <item h="1" x="16"/>
        <item h="1" x="107"/>
        <item h="1" x="121"/>
        <item h="1" x="27"/>
        <item h="1" x="146"/>
        <item h="1" x="99"/>
        <item h="1" x="52"/>
        <item x="169"/>
        <item t="default"/>
      </items>
    </pivotField>
    <pivotField showAll="0"/>
    <pivotField showAll="0">
      <items count="5">
        <item x="3"/>
        <item x="1"/>
        <item x="2"/>
        <item x="0"/>
        <item t="default"/>
      </items>
    </pivotField>
    <pivotField showAll="0"/>
    <pivotField showAll="0"/>
    <pivotField showAll="0"/>
    <pivotField showAll="0"/>
    <pivotField dataField="1" showAll="0"/>
    <pivotField showAll="0">
      <items count="5">
        <item x="3"/>
        <item x="0"/>
        <item x="1"/>
        <item x="2"/>
        <item t="default"/>
      </items>
    </pivotField>
    <pivotField showAll="0">
      <items count="8">
        <item x="4"/>
        <item x="1"/>
        <item x="3"/>
        <item x="6"/>
        <item x="2"/>
        <item x="5"/>
        <item x="0"/>
        <item t="default"/>
      </items>
    </pivotField>
  </pivotFields>
  <rowFields count="1">
    <field x="1"/>
  </rowFields>
  <rowItems count="12">
    <i>
      <x/>
    </i>
    <i>
      <x v="26"/>
    </i>
    <i>
      <x v="41"/>
    </i>
    <i>
      <x v="87"/>
    </i>
    <i>
      <x v="112"/>
    </i>
    <i>
      <x v="137"/>
    </i>
    <i>
      <x v="158"/>
    </i>
    <i>
      <x v="162"/>
    </i>
    <i>
      <x v="189"/>
    </i>
    <i>
      <x v="216"/>
    </i>
    <i>
      <x v="236"/>
    </i>
    <i t="grand">
      <x/>
    </i>
  </rowItems>
  <colItems count="1">
    <i/>
  </colItems>
  <dataFields count="1">
    <dataField name="Sum of Total Sales" fld="8" baseField="0" baseItem="0"/>
  </dataFields>
  <chartFormats count="1">
    <chartFormat chart="17" format="14" series="1">
      <pivotArea type="data" outline="0" fieldPosition="0">
        <references count="1">
          <reference field="4294967294" count="1" selected="0">
            <x v="0"/>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EEDDE3B-EF79-4B8D-976D-2F6E4A39E4CC}" sourceName="Payment Mode">
  <pivotTables>
    <pivotTable tabId="3" name="PivotTable9"/>
    <pivotTable tabId="3" name="PivotTable10"/>
    <pivotTable tabId="3" name="PivotTable11"/>
    <pivotTable tabId="3" name="PivotTable12"/>
    <pivotTable tabId="3" name="PivotTable14"/>
    <pivotTable tabId="3" name="PivotTable15"/>
  </pivotTables>
  <data>
    <tabular pivotCacheId="1112506242">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293A1C-8006-46F4-A5CE-12C45123E59B}" sourceName="Region">
  <pivotTables>
    <pivotTable tabId="3" name="PivotTable9"/>
    <pivotTable tabId="3" name="PivotTable10"/>
    <pivotTable tabId="3" name="PivotTable11"/>
    <pivotTable tabId="3" name="PivotTable12"/>
    <pivotTable tabId="3" name="PivotTable14"/>
    <pivotTable tabId="3" name="PivotTable15"/>
  </pivotTables>
  <data>
    <tabular pivotCacheId="1112506242">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BF1EC62-88A6-4689-8C76-AF50F83E7E77}" sourceName="Salesperson">
  <pivotTables>
    <pivotTable tabId="3" name="PivotTable14"/>
    <pivotTable tabId="3" name="PivotTable10"/>
    <pivotTable tabId="3" name="PivotTable11"/>
    <pivotTable tabId="3" name="PivotTable12"/>
    <pivotTable tabId="3" name="PivotTable15"/>
    <pivotTable tabId="3" name="PivotTable9"/>
  </pivotTables>
  <data>
    <tabular pivotCacheId="1112506242">
      <items count="7">
        <i x="4" s="1"/>
        <i x="1" s="1"/>
        <i x="3" s="1"/>
        <i x="6" s="1"/>
        <i x="2"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32AE5D-FB29-429A-817C-09E18ECFB42B}" sourceName="Product Category">
  <pivotTables>
    <pivotTable tabId="3" name="PivotTable9"/>
  </pivotTables>
  <data>
    <tabular pivotCacheId="11125062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9339D2C4-A184-4376-B3B7-9CFA1E0DC5E1}" cache="Slicer_Payment_Mode" caption="Payment Mode" style="SlicerStyleDark6" rowHeight="241300"/>
  <slicer name="Region" xr10:uid="{8952310C-EAE9-4BC3-BB6B-F8BD954B2122}" cache="Slicer_Region" caption="Region" style="SlicerStyleDark6" rowHeight="241300"/>
  <slicer name="Salesperson" xr10:uid="{1BB9B834-DD7B-4333-8471-1191EE37BB43}" cache="Slicer_Salesperson" caption="Salesperson" style="SlicerStyleDark6" rowHeight="241300"/>
  <slicer name="Product Category" xr10:uid="{6373E145-E376-4E5C-AA53-12C2B493095B}" cache="Slicer_Product_Category" caption="Product Categor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0B08F0-B5CA-4230-9A87-20E72BA9CB31}" name="Table2" displayName="Table2" ref="A1:K501" totalsRowShown="0">
  <autoFilter ref="A1:K501" xr:uid="{5E0B08F0-B5CA-4230-9A87-20E72BA9CB31}"/>
  <tableColumns count="11">
    <tableColumn id="1" xr3:uid="{6A996F2E-7DFC-4AB3-9F50-AB66671C0BB5}" name="Order ID"/>
    <tableColumn id="2" xr3:uid="{54EB01B3-2BE7-48BA-A78D-F14BF9B4A335}" name="Date"/>
    <tableColumn id="3" xr3:uid="{9182793A-D617-4347-80A8-3E6AEE149D44}" name="Customer Name"/>
    <tableColumn id="4" xr3:uid="{D44B682F-8A82-456A-A91C-7DD0A9CB86BF}" name="Region"/>
    <tableColumn id="5" xr3:uid="{950943D1-8568-41D9-BE8E-0E9BF0AE6838}" name="Product Category"/>
    <tableColumn id="6" xr3:uid="{3D7343CB-A0B9-49FB-9279-C0F9BEA8BA49}" name="Product Name"/>
    <tableColumn id="7" xr3:uid="{0A482E27-A2E5-4F53-BE19-1EF329D31289}" name="Quantity"/>
    <tableColumn id="8" xr3:uid="{F2995111-D8D6-4B49-B43B-8786A775BCD2}" name="Unit Price"/>
    <tableColumn id="9" xr3:uid="{45AEA0B0-417F-4E86-ABA7-3135DA913A44}" name="Total Sales"/>
    <tableColumn id="10" xr3:uid="{B047E8F9-4FF7-4B1C-A6E7-4EA50E76FB1F}" name="Payment Mode"/>
    <tableColumn id="11" xr3:uid="{2F8E16F1-D046-4748-BC42-4277BCBB41A9}" name="Salesperson"/>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zoomScale="85" zoomScaleNormal="85" workbookViewId="0">
      <selection activeCell="M6" sqref="M6"/>
    </sheetView>
  </sheetViews>
  <sheetFormatPr defaultRowHeight="15" x14ac:dyDescent="0.25"/>
  <cols>
    <col min="1" max="1" width="10.7109375" customWidth="1"/>
    <col min="2" max="2" width="10.42578125" bestFit="1" customWidth="1"/>
    <col min="3" max="3" width="17.7109375" customWidth="1"/>
    <col min="4" max="4" width="9.5703125" customWidth="1"/>
    <col min="5" max="5" width="18.140625" customWidth="1"/>
    <col min="6" max="6" width="15.85546875" customWidth="1"/>
    <col min="7" max="7" width="10.85546875" customWidth="1"/>
    <col min="8" max="8" width="12" customWidth="1"/>
    <col min="9" max="9" width="13.42578125" customWidth="1"/>
    <col min="10" max="10" width="16.5703125" customWidth="1"/>
    <col min="11" max="11" width="14.57031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v>15</v>
      </c>
      <c r="H2">
        <v>884</v>
      </c>
      <c r="I2">
        <v>13260</v>
      </c>
      <c r="J2" t="s">
        <v>17</v>
      </c>
      <c r="K2" t="s">
        <v>18</v>
      </c>
    </row>
    <row r="3" spans="1:11" x14ac:dyDescent="0.25">
      <c r="A3" t="s">
        <v>19</v>
      </c>
      <c r="B3" t="s">
        <v>20</v>
      </c>
      <c r="C3" t="s">
        <v>21</v>
      </c>
      <c r="D3" t="s">
        <v>22</v>
      </c>
      <c r="E3" t="s">
        <v>15</v>
      </c>
      <c r="F3" t="s">
        <v>23</v>
      </c>
      <c r="G3">
        <v>11</v>
      </c>
      <c r="H3">
        <v>558</v>
      </c>
      <c r="I3">
        <v>6138</v>
      </c>
      <c r="J3" t="s">
        <v>17</v>
      </c>
      <c r="K3" t="s">
        <v>24</v>
      </c>
    </row>
    <row r="4" spans="1:11" x14ac:dyDescent="0.25">
      <c r="A4" t="s">
        <v>25</v>
      </c>
      <c r="B4" t="s">
        <v>26</v>
      </c>
      <c r="C4" t="s">
        <v>27</v>
      </c>
      <c r="D4" t="s">
        <v>14</v>
      </c>
      <c r="E4" t="s">
        <v>28</v>
      </c>
      <c r="F4" t="s">
        <v>29</v>
      </c>
      <c r="G4">
        <v>11</v>
      </c>
      <c r="H4">
        <v>1623</v>
      </c>
      <c r="I4">
        <v>17853</v>
      </c>
      <c r="J4" t="s">
        <v>30</v>
      </c>
      <c r="K4" t="s">
        <v>24</v>
      </c>
    </row>
    <row r="5" spans="1:11" x14ac:dyDescent="0.25">
      <c r="A5" t="s">
        <v>31</v>
      </c>
      <c r="B5" t="s">
        <v>32</v>
      </c>
      <c r="C5" t="s">
        <v>33</v>
      </c>
      <c r="D5" t="s">
        <v>14</v>
      </c>
      <c r="E5" t="s">
        <v>34</v>
      </c>
      <c r="F5" t="s">
        <v>35</v>
      </c>
      <c r="G5">
        <v>4</v>
      </c>
      <c r="H5">
        <v>1818</v>
      </c>
      <c r="I5">
        <v>7272</v>
      </c>
      <c r="J5" t="s">
        <v>36</v>
      </c>
      <c r="K5" t="s">
        <v>18</v>
      </c>
    </row>
    <row r="6" spans="1:11" x14ac:dyDescent="0.25">
      <c r="A6" t="s">
        <v>37</v>
      </c>
      <c r="B6" t="s">
        <v>38</v>
      </c>
      <c r="C6" t="s">
        <v>39</v>
      </c>
      <c r="D6" t="s">
        <v>40</v>
      </c>
      <c r="E6" t="s">
        <v>28</v>
      </c>
      <c r="F6" t="s">
        <v>41</v>
      </c>
      <c r="G6">
        <v>13</v>
      </c>
      <c r="H6">
        <v>126</v>
      </c>
      <c r="I6">
        <v>1638</v>
      </c>
      <c r="J6" t="s">
        <v>36</v>
      </c>
      <c r="K6" t="s">
        <v>42</v>
      </c>
    </row>
    <row r="7" spans="1:11" x14ac:dyDescent="0.25">
      <c r="A7" t="s">
        <v>43</v>
      </c>
      <c r="B7" t="s">
        <v>44</v>
      </c>
      <c r="C7" t="s">
        <v>45</v>
      </c>
      <c r="D7" t="s">
        <v>46</v>
      </c>
      <c r="E7" t="s">
        <v>34</v>
      </c>
      <c r="F7" t="s">
        <v>47</v>
      </c>
      <c r="G7">
        <v>4</v>
      </c>
      <c r="H7">
        <v>492</v>
      </c>
      <c r="I7">
        <v>1968</v>
      </c>
      <c r="J7" t="s">
        <v>36</v>
      </c>
      <c r="K7" t="s">
        <v>48</v>
      </c>
    </row>
    <row r="8" spans="1:11" x14ac:dyDescent="0.25">
      <c r="A8" t="s">
        <v>49</v>
      </c>
      <c r="B8" t="s">
        <v>50</v>
      </c>
      <c r="C8" t="s">
        <v>51</v>
      </c>
      <c r="D8" t="s">
        <v>14</v>
      </c>
      <c r="E8" t="s">
        <v>28</v>
      </c>
      <c r="F8" t="s">
        <v>52</v>
      </c>
      <c r="G8">
        <v>9</v>
      </c>
      <c r="H8">
        <v>1418</v>
      </c>
      <c r="I8">
        <v>12762</v>
      </c>
      <c r="J8" t="s">
        <v>30</v>
      </c>
      <c r="K8" t="s">
        <v>53</v>
      </c>
    </row>
    <row r="9" spans="1:11" x14ac:dyDescent="0.25">
      <c r="A9" t="s">
        <v>54</v>
      </c>
      <c r="B9" t="s">
        <v>55</v>
      </c>
      <c r="C9" t="s">
        <v>56</v>
      </c>
      <c r="D9" t="s">
        <v>46</v>
      </c>
      <c r="E9" t="s">
        <v>57</v>
      </c>
      <c r="F9" t="s">
        <v>58</v>
      </c>
      <c r="G9">
        <v>14</v>
      </c>
      <c r="H9">
        <v>1228</v>
      </c>
      <c r="I9">
        <v>17192</v>
      </c>
      <c r="J9" t="s">
        <v>17</v>
      </c>
      <c r="K9" t="s">
        <v>48</v>
      </c>
    </row>
    <row r="10" spans="1:11" x14ac:dyDescent="0.25">
      <c r="A10" t="s">
        <v>59</v>
      </c>
      <c r="B10" t="s">
        <v>60</v>
      </c>
      <c r="C10" t="s">
        <v>61</v>
      </c>
      <c r="D10" t="s">
        <v>14</v>
      </c>
      <c r="E10" t="s">
        <v>15</v>
      </c>
      <c r="F10" t="s">
        <v>23</v>
      </c>
      <c r="G10">
        <v>12</v>
      </c>
      <c r="H10">
        <v>1497</v>
      </c>
      <c r="I10">
        <v>17964</v>
      </c>
      <c r="J10" t="s">
        <v>62</v>
      </c>
      <c r="K10" t="s">
        <v>24</v>
      </c>
    </row>
    <row r="11" spans="1:11" x14ac:dyDescent="0.25">
      <c r="A11" t="s">
        <v>63</v>
      </c>
      <c r="B11" t="s">
        <v>64</v>
      </c>
      <c r="C11" t="s">
        <v>65</v>
      </c>
      <c r="D11" t="s">
        <v>14</v>
      </c>
      <c r="E11" t="s">
        <v>15</v>
      </c>
      <c r="F11" t="s">
        <v>66</v>
      </c>
      <c r="G11">
        <v>3</v>
      </c>
      <c r="H11">
        <v>1483</v>
      </c>
      <c r="I11">
        <v>4449</v>
      </c>
      <c r="J11" t="s">
        <v>62</v>
      </c>
      <c r="K11" t="s">
        <v>42</v>
      </c>
    </row>
    <row r="12" spans="1:11" x14ac:dyDescent="0.25">
      <c r="A12" t="s">
        <v>67</v>
      </c>
      <c r="B12" t="s">
        <v>68</v>
      </c>
      <c r="C12" t="s">
        <v>69</v>
      </c>
      <c r="D12" t="s">
        <v>46</v>
      </c>
      <c r="E12" t="s">
        <v>28</v>
      </c>
      <c r="F12" t="s">
        <v>41</v>
      </c>
      <c r="G12">
        <v>7</v>
      </c>
      <c r="H12">
        <v>1701</v>
      </c>
      <c r="I12">
        <v>11907</v>
      </c>
      <c r="J12" t="s">
        <v>17</v>
      </c>
      <c r="K12" t="s">
        <v>70</v>
      </c>
    </row>
    <row r="13" spans="1:11" x14ac:dyDescent="0.25">
      <c r="A13" t="s">
        <v>71</v>
      </c>
      <c r="B13" t="s">
        <v>72</v>
      </c>
      <c r="C13" t="s">
        <v>73</v>
      </c>
      <c r="D13" t="s">
        <v>14</v>
      </c>
      <c r="E13" t="s">
        <v>34</v>
      </c>
      <c r="F13" t="s">
        <v>47</v>
      </c>
      <c r="G13">
        <v>1</v>
      </c>
      <c r="H13">
        <v>436</v>
      </c>
      <c r="I13">
        <v>436</v>
      </c>
      <c r="J13" t="s">
        <v>62</v>
      </c>
      <c r="K13" t="s">
        <v>53</v>
      </c>
    </row>
    <row r="14" spans="1:11" x14ac:dyDescent="0.25">
      <c r="A14" t="s">
        <v>74</v>
      </c>
      <c r="B14" t="s">
        <v>75</v>
      </c>
      <c r="C14" t="s">
        <v>76</v>
      </c>
      <c r="D14" t="s">
        <v>22</v>
      </c>
      <c r="E14" t="s">
        <v>28</v>
      </c>
      <c r="F14" t="s">
        <v>52</v>
      </c>
      <c r="G14">
        <v>20</v>
      </c>
      <c r="H14">
        <v>369</v>
      </c>
      <c r="I14">
        <v>7380</v>
      </c>
      <c r="J14" t="s">
        <v>36</v>
      </c>
      <c r="K14" t="s">
        <v>77</v>
      </c>
    </row>
    <row r="15" spans="1:11" x14ac:dyDescent="0.25">
      <c r="A15" t="s">
        <v>78</v>
      </c>
      <c r="B15" t="s">
        <v>79</v>
      </c>
      <c r="C15" t="s">
        <v>80</v>
      </c>
      <c r="D15" t="s">
        <v>14</v>
      </c>
      <c r="E15" t="s">
        <v>15</v>
      </c>
      <c r="F15" t="s">
        <v>23</v>
      </c>
      <c r="G15">
        <v>8</v>
      </c>
      <c r="H15">
        <v>1456</v>
      </c>
      <c r="I15">
        <v>11648</v>
      </c>
      <c r="J15" t="s">
        <v>30</v>
      </c>
      <c r="K15" t="s">
        <v>42</v>
      </c>
    </row>
    <row r="16" spans="1:11" x14ac:dyDescent="0.25">
      <c r="A16" t="s">
        <v>81</v>
      </c>
      <c r="B16" t="s">
        <v>82</v>
      </c>
      <c r="C16" t="s">
        <v>83</v>
      </c>
      <c r="D16" t="s">
        <v>40</v>
      </c>
      <c r="E16" t="s">
        <v>34</v>
      </c>
      <c r="F16" t="s">
        <v>84</v>
      </c>
      <c r="G16">
        <v>9</v>
      </c>
      <c r="H16">
        <v>1193</v>
      </c>
      <c r="I16">
        <v>10737</v>
      </c>
      <c r="J16" t="s">
        <v>17</v>
      </c>
      <c r="K16" t="s">
        <v>42</v>
      </c>
    </row>
    <row r="17" spans="1:11" x14ac:dyDescent="0.25">
      <c r="A17" t="s">
        <v>85</v>
      </c>
      <c r="B17" t="s">
        <v>86</v>
      </c>
      <c r="C17" t="s">
        <v>87</v>
      </c>
      <c r="D17" t="s">
        <v>14</v>
      </c>
      <c r="E17" t="s">
        <v>15</v>
      </c>
      <c r="F17" t="s">
        <v>23</v>
      </c>
      <c r="G17">
        <v>12</v>
      </c>
      <c r="H17">
        <v>1473</v>
      </c>
      <c r="I17">
        <v>17676</v>
      </c>
      <c r="J17" t="s">
        <v>62</v>
      </c>
      <c r="K17" t="s">
        <v>53</v>
      </c>
    </row>
    <row r="18" spans="1:11" x14ac:dyDescent="0.25">
      <c r="A18" t="s">
        <v>88</v>
      </c>
      <c r="B18" t="s">
        <v>89</v>
      </c>
      <c r="C18" t="s">
        <v>90</v>
      </c>
      <c r="D18" t="s">
        <v>40</v>
      </c>
      <c r="E18" t="s">
        <v>15</v>
      </c>
      <c r="F18" t="s">
        <v>16</v>
      </c>
      <c r="G18">
        <v>11</v>
      </c>
      <c r="H18">
        <v>408</v>
      </c>
      <c r="I18">
        <v>4488</v>
      </c>
      <c r="J18" t="s">
        <v>62</v>
      </c>
      <c r="K18" t="s">
        <v>77</v>
      </c>
    </row>
    <row r="19" spans="1:11" x14ac:dyDescent="0.25">
      <c r="A19" t="s">
        <v>91</v>
      </c>
      <c r="B19" t="s">
        <v>92</v>
      </c>
      <c r="C19" t="s">
        <v>93</v>
      </c>
      <c r="D19" t="s">
        <v>46</v>
      </c>
      <c r="E19" t="s">
        <v>57</v>
      </c>
      <c r="F19" t="s">
        <v>58</v>
      </c>
      <c r="G19">
        <v>17</v>
      </c>
      <c r="H19">
        <v>742</v>
      </c>
      <c r="I19">
        <v>12614</v>
      </c>
      <c r="J19" t="s">
        <v>30</v>
      </c>
      <c r="K19" t="s">
        <v>53</v>
      </c>
    </row>
    <row r="20" spans="1:11" x14ac:dyDescent="0.25">
      <c r="A20" t="s">
        <v>94</v>
      </c>
      <c r="B20" t="s">
        <v>95</v>
      </c>
      <c r="C20" t="s">
        <v>96</v>
      </c>
      <c r="D20" t="s">
        <v>14</v>
      </c>
      <c r="E20" t="s">
        <v>15</v>
      </c>
      <c r="F20" t="s">
        <v>16</v>
      </c>
      <c r="G20">
        <v>20</v>
      </c>
      <c r="H20">
        <v>592</v>
      </c>
      <c r="I20">
        <v>11840</v>
      </c>
      <c r="J20" t="s">
        <v>17</v>
      </c>
      <c r="K20" t="s">
        <v>42</v>
      </c>
    </row>
    <row r="21" spans="1:11" x14ac:dyDescent="0.25">
      <c r="A21" t="s">
        <v>97</v>
      </c>
      <c r="B21" t="s">
        <v>98</v>
      </c>
      <c r="C21" t="s">
        <v>99</v>
      </c>
      <c r="D21" t="s">
        <v>22</v>
      </c>
      <c r="E21" t="s">
        <v>28</v>
      </c>
      <c r="F21" t="s">
        <v>29</v>
      </c>
      <c r="G21">
        <v>2</v>
      </c>
      <c r="H21">
        <v>327</v>
      </c>
      <c r="I21">
        <v>654</v>
      </c>
      <c r="J21" t="s">
        <v>17</v>
      </c>
      <c r="K21" t="s">
        <v>77</v>
      </c>
    </row>
    <row r="22" spans="1:11" x14ac:dyDescent="0.25">
      <c r="A22" t="s">
        <v>100</v>
      </c>
      <c r="B22" t="s">
        <v>101</v>
      </c>
      <c r="C22" t="s">
        <v>102</v>
      </c>
      <c r="D22" t="s">
        <v>40</v>
      </c>
      <c r="E22" t="s">
        <v>15</v>
      </c>
      <c r="F22" t="s">
        <v>23</v>
      </c>
      <c r="G22">
        <v>6</v>
      </c>
      <c r="H22">
        <v>892</v>
      </c>
      <c r="I22">
        <v>5352</v>
      </c>
      <c r="J22" t="s">
        <v>36</v>
      </c>
      <c r="K22" t="s">
        <v>18</v>
      </c>
    </row>
    <row r="23" spans="1:11" x14ac:dyDescent="0.25">
      <c r="A23" t="s">
        <v>103</v>
      </c>
      <c r="B23" t="s">
        <v>104</v>
      </c>
      <c r="C23" t="s">
        <v>105</v>
      </c>
      <c r="D23" t="s">
        <v>46</v>
      </c>
      <c r="E23" t="s">
        <v>57</v>
      </c>
      <c r="F23" t="s">
        <v>106</v>
      </c>
      <c r="G23">
        <v>13</v>
      </c>
      <c r="H23">
        <v>448</v>
      </c>
      <c r="I23">
        <v>5824</v>
      </c>
      <c r="J23" t="s">
        <v>30</v>
      </c>
      <c r="K23" t="s">
        <v>42</v>
      </c>
    </row>
    <row r="24" spans="1:11" x14ac:dyDescent="0.25">
      <c r="A24" t="s">
        <v>107</v>
      </c>
      <c r="B24" t="s">
        <v>72</v>
      </c>
      <c r="C24" t="s">
        <v>108</v>
      </c>
      <c r="D24" t="s">
        <v>46</v>
      </c>
      <c r="E24" t="s">
        <v>34</v>
      </c>
      <c r="F24" t="s">
        <v>84</v>
      </c>
      <c r="G24">
        <v>13</v>
      </c>
      <c r="H24">
        <v>1792</v>
      </c>
      <c r="I24">
        <v>23296</v>
      </c>
      <c r="J24" t="s">
        <v>62</v>
      </c>
      <c r="K24" t="s">
        <v>18</v>
      </c>
    </row>
    <row r="25" spans="1:11" x14ac:dyDescent="0.25">
      <c r="A25" t="s">
        <v>109</v>
      </c>
      <c r="B25" t="s">
        <v>110</v>
      </c>
      <c r="C25" t="s">
        <v>111</v>
      </c>
      <c r="D25" t="s">
        <v>40</v>
      </c>
      <c r="E25" t="s">
        <v>34</v>
      </c>
      <c r="F25" t="s">
        <v>112</v>
      </c>
      <c r="G25">
        <v>9</v>
      </c>
      <c r="H25">
        <v>1506</v>
      </c>
      <c r="I25">
        <v>13554</v>
      </c>
      <c r="J25" t="s">
        <v>62</v>
      </c>
      <c r="K25" t="s">
        <v>24</v>
      </c>
    </row>
    <row r="26" spans="1:11" x14ac:dyDescent="0.25">
      <c r="A26" t="s">
        <v>113</v>
      </c>
      <c r="B26" t="s">
        <v>114</v>
      </c>
      <c r="C26" t="s">
        <v>115</v>
      </c>
      <c r="D26" t="s">
        <v>40</v>
      </c>
      <c r="E26" t="s">
        <v>28</v>
      </c>
      <c r="F26" t="s">
        <v>29</v>
      </c>
      <c r="G26">
        <v>15</v>
      </c>
      <c r="H26">
        <v>291</v>
      </c>
      <c r="I26">
        <v>4365</v>
      </c>
      <c r="J26" t="s">
        <v>17</v>
      </c>
      <c r="K26" t="s">
        <v>48</v>
      </c>
    </row>
    <row r="27" spans="1:11" x14ac:dyDescent="0.25">
      <c r="A27" t="s">
        <v>116</v>
      </c>
      <c r="B27" t="s">
        <v>117</v>
      </c>
      <c r="C27" t="s">
        <v>118</v>
      </c>
      <c r="D27" t="s">
        <v>14</v>
      </c>
      <c r="E27" t="s">
        <v>28</v>
      </c>
      <c r="F27" t="s">
        <v>119</v>
      </c>
      <c r="G27">
        <v>5</v>
      </c>
      <c r="H27">
        <v>1820</v>
      </c>
      <c r="I27">
        <v>9100</v>
      </c>
      <c r="J27" t="s">
        <v>36</v>
      </c>
      <c r="K27" t="s">
        <v>42</v>
      </c>
    </row>
    <row r="28" spans="1:11" x14ac:dyDescent="0.25">
      <c r="A28" t="s">
        <v>120</v>
      </c>
      <c r="B28" t="s">
        <v>121</v>
      </c>
      <c r="C28" t="s">
        <v>122</v>
      </c>
      <c r="D28" t="s">
        <v>14</v>
      </c>
      <c r="E28" t="s">
        <v>15</v>
      </c>
      <c r="F28" t="s">
        <v>66</v>
      </c>
      <c r="G28">
        <v>5</v>
      </c>
      <c r="H28">
        <v>1152</v>
      </c>
      <c r="I28">
        <v>5760</v>
      </c>
      <c r="J28" t="s">
        <v>36</v>
      </c>
      <c r="K28" t="s">
        <v>70</v>
      </c>
    </row>
    <row r="29" spans="1:11" x14ac:dyDescent="0.25">
      <c r="A29" t="s">
        <v>123</v>
      </c>
      <c r="B29" t="s">
        <v>124</v>
      </c>
      <c r="C29" t="s">
        <v>125</v>
      </c>
      <c r="D29" t="s">
        <v>22</v>
      </c>
      <c r="E29" t="s">
        <v>28</v>
      </c>
      <c r="F29" t="s">
        <v>52</v>
      </c>
      <c r="G29">
        <v>20</v>
      </c>
      <c r="H29">
        <v>1313</v>
      </c>
      <c r="I29">
        <v>26260</v>
      </c>
      <c r="J29" t="s">
        <v>62</v>
      </c>
      <c r="K29" t="s">
        <v>77</v>
      </c>
    </row>
    <row r="30" spans="1:11" x14ac:dyDescent="0.25">
      <c r="A30" t="s">
        <v>126</v>
      </c>
      <c r="B30" t="s">
        <v>127</v>
      </c>
      <c r="C30" t="s">
        <v>128</v>
      </c>
      <c r="D30" t="s">
        <v>46</v>
      </c>
      <c r="E30" t="s">
        <v>28</v>
      </c>
      <c r="F30" t="s">
        <v>41</v>
      </c>
      <c r="G30">
        <v>13</v>
      </c>
      <c r="H30">
        <v>281</v>
      </c>
      <c r="I30">
        <v>3653</v>
      </c>
      <c r="J30" t="s">
        <v>17</v>
      </c>
      <c r="K30" t="s">
        <v>18</v>
      </c>
    </row>
    <row r="31" spans="1:11" x14ac:dyDescent="0.25">
      <c r="A31" t="s">
        <v>129</v>
      </c>
      <c r="B31" t="s">
        <v>130</v>
      </c>
      <c r="C31" t="s">
        <v>131</v>
      </c>
      <c r="D31" t="s">
        <v>22</v>
      </c>
      <c r="E31" t="s">
        <v>34</v>
      </c>
      <c r="F31" t="s">
        <v>112</v>
      </c>
      <c r="G31">
        <v>3</v>
      </c>
      <c r="H31">
        <v>957</v>
      </c>
      <c r="I31">
        <v>2871</v>
      </c>
      <c r="J31" t="s">
        <v>62</v>
      </c>
      <c r="K31" t="s">
        <v>42</v>
      </c>
    </row>
    <row r="32" spans="1:11" x14ac:dyDescent="0.25">
      <c r="A32" t="s">
        <v>132</v>
      </c>
      <c r="B32" t="s">
        <v>133</v>
      </c>
      <c r="C32" t="s">
        <v>134</v>
      </c>
      <c r="D32" t="s">
        <v>22</v>
      </c>
      <c r="E32" t="s">
        <v>57</v>
      </c>
      <c r="F32" t="s">
        <v>135</v>
      </c>
      <c r="G32">
        <v>19</v>
      </c>
      <c r="H32">
        <v>921</v>
      </c>
      <c r="I32">
        <v>17499</v>
      </c>
      <c r="J32" t="s">
        <v>62</v>
      </c>
      <c r="K32" t="s">
        <v>42</v>
      </c>
    </row>
    <row r="33" spans="1:11" x14ac:dyDescent="0.25">
      <c r="A33" t="s">
        <v>136</v>
      </c>
      <c r="B33" t="s">
        <v>137</v>
      </c>
      <c r="C33" t="s">
        <v>138</v>
      </c>
      <c r="D33" t="s">
        <v>46</v>
      </c>
      <c r="E33" t="s">
        <v>57</v>
      </c>
      <c r="F33" t="s">
        <v>139</v>
      </c>
      <c r="G33">
        <v>12</v>
      </c>
      <c r="H33">
        <v>283</v>
      </c>
      <c r="I33">
        <v>3396</v>
      </c>
      <c r="J33" t="s">
        <v>30</v>
      </c>
      <c r="K33" t="s">
        <v>42</v>
      </c>
    </row>
    <row r="34" spans="1:11" x14ac:dyDescent="0.25">
      <c r="A34" t="s">
        <v>140</v>
      </c>
      <c r="B34" t="s">
        <v>141</v>
      </c>
      <c r="C34" t="s">
        <v>142</v>
      </c>
      <c r="D34" t="s">
        <v>14</v>
      </c>
      <c r="E34" t="s">
        <v>28</v>
      </c>
      <c r="F34" t="s">
        <v>119</v>
      </c>
      <c r="G34">
        <v>16</v>
      </c>
      <c r="H34">
        <v>1678</v>
      </c>
      <c r="I34">
        <v>26848</v>
      </c>
      <c r="J34" t="s">
        <v>17</v>
      </c>
      <c r="K34" t="s">
        <v>70</v>
      </c>
    </row>
    <row r="35" spans="1:11" x14ac:dyDescent="0.25">
      <c r="A35" t="s">
        <v>143</v>
      </c>
      <c r="B35" t="s">
        <v>141</v>
      </c>
      <c r="C35" t="s">
        <v>144</v>
      </c>
      <c r="D35" t="s">
        <v>22</v>
      </c>
      <c r="E35" t="s">
        <v>28</v>
      </c>
      <c r="F35" t="s">
        <v>41</v>
      </c>
      <c r="G35">
        <v>14</v>
      </c>
      <c r="H35">
        <v>1348</v>
      </c>
      <c r="I35">
        <v>18872</v>
      </c>
      <c r="J35" t="s">
        <v>62</v>
      </c>
      <c r="K35" t="s">
        <v>77</v>
      </c>
    </row>
    <row r="36" spans="1:11" x14ac:dyDescent="0.25">
      <c r="A36" t="s">
        <v>145</v>
      </c>
      <c r="B36" t="s">
        <v>146</v>
      </c>
      <c r="C36" t="s">
        <v>147</v>
      </c>
      <c r="D36" t="s">
        <v>22</v>
      </c>
      <c r="E36" t="s">
        <v>34</v>
      </c>
      <c r="F36" t="s">
        <v>84</v>
      </c>
      <c r="G36">
        <v>11</v>
      </c>
      <c r="H36">
        <v>663</v>
      </c>
      <c r="I36">
        <v>7293</v>
      </c>
      <c r="J36" t="s">
        <v>17</v>
      </c>
      <c r="K36" t="s">
        <v>42</v>
      </c>
    </row>
    <row r="37" spans="1:11" x14ac:dyDescent="0.25">
      <c r="A37" t="s">
        <v>148</v>
      </c>
      <c r="B37" t="s">
        <v>149</v>
      </c>
      <c r="C37" t="s">
        <v>150</v>
      </c>
      <c r="D37" t="s">
        <v>46</v>
      </c>
      <c r="E37" t="s">
        <v>28</v>
      </c>
      <c r="F37" t="s">
        <v>52</v>
      </c>
      <c r="G37">
        <v>18</v>
      </c>
      <c r="H37">
        <v>598</v>
      </c>
      <c r="I37">
        <v>10764</v>
      </c>
      <c r="J37" t="s">
        <v>36</v>
      </c>
      <c r="K37" t="s">
        <v>53</v>
      </c>
    </row>
    <row r="38" spans="1:11" x14ac:dyDescent="0.25">
      <c r="A38" t="s">
        <v>151</v>
      </c>
      <c r="B38" t="s">
        <v>152</v>
      </c>
      <c r="C38" t="s">
        <v>153</v>
      </c>
      <c r="D38" t="s">
        <v>46</v>
      </c>
      <c r="E38" t="s">
        <v>15</v>
      </c>
      <c r="F38" t="s">
        <v>154</v>
      </c>
      <c r="G38">
        <v>8</v>
      </c>
      <c r="H38">
        <v>1001</v>
      </c>
      <c r="I38">
        <v>8008</v>
      </c>
      <c r="J38" t="s">
        <v>36</v>
      </c>
      <c r="K38" t="s">
        <v>24</v>
      </c>
    </row>
    <row r="39" spans="1:11" x14ac:dyDescent="0.25">
      <c r="A39" t="s">
        <v>155</v>
      </c>
      <c r="B39" t="s">
        <v>156</v>
      </c>
      <c r="C39" t="s">
        <v>157</v>
      </c>
      <c r="D39" t="s">
        <v>46</v>
      </c>
      <c r="E39" t="s">
        <v>28</v>
      </c>
      <c r="F39" t="s">
        <v>29</v>
      </c>
      <c r="G39">
        <v>12</v>
      </c>
      <c r="H39">
        <v>1723</v>
      </c>
      <c r="I39">
        <v>20676</v>
      </c>
      <c r="J39" t="s">
        <v>17</v>
      </c>
      <c r="K39" t="s">
        <v>48</v>
      </c>
    </row>
    <row r="40" spans="1:11" x14ac:dyDescent="0.25">
      <c r="A40" t="s">
        <v>158</v>
      </c>
      <c r="B40" t="s">
        <v>159</v>
      </c>
      <c r="C40" t="s">
        <v>160</v>
      </c>
      <c r="D40" t="s">
        <v>22</v>
      </c>
      <c r="E40" t="s">
        <v>15</v>
      </c>
      <c r="F40" t="s">
        <v>23</v>
      </c>
      <c r="G40">
        <v>11</v>
      </c>
      <c r="H40">
        <v>1948</v>
      </c>
      <c r="I40">
        <v>21428</v>
      </c>
      <c r="J40" t="s">
        <v>17</v>
      </c>
      <c r="K40" t="s">
        <v>24</v>
      </c>
    </row>
    <row r="41" spans="1:11" x14ac:dyDescent="0.25">
      <c r="A41" t="s">
        <v>161</v>
      </c>
      <c r="B41" t="s">
        <v>162</v>
      </c>
      <c r="C41" t="s">
        <v>163</v>
      </c>
      <c r="D41" t="s">
        <v>40</v>
      </c>
      <c r="E41" t="s">
        <v>28</v>
      </c>
      <c r="F41" t="s">
        <v>119</v>
      </c>
      <c r="G41">
        <v>6</v>
      </c>
      <c r="H41">
        <v>1775</v>
      </c>
      <c r="I41">
        <v>10650</v>
      </c>
      <c r="J41" t="s">
        <v>62</v>
      </c>
      <c r="K41" t="s">
        <v>53</v>
      </c>
    </row>
    <row r="42" spans="1:11" x14ac:dyDescent="0.25">
      <c r="A42" t="s">
        <v>164</v>
      </c>
      <c r="B42" t="s">
        <v>165</v>
      </c>
      <c r="C42" t="s">
        <v>166</v>
      </c>
      <c r="D42" t="s">
        <v>46</v>
      </c>
      <c r="E42" t="s">
        <v>34</v>
      </c>
      <c r="F42" t="s">
        <v>84</v>
      </c>
      <c r="G42">
        <v>17</v>
      </c>
      <c r="H42">
        <v>1712</v>
      </c>
      <c r="I42">
        <v>29104</v>
      </c>
      <c r="J42" t="s">
        <v>62</v>
      </c>
      <c r="K42" t="s">
        <v>48</v>
      </c>
    </row>
    <row r="43" spans="1:11" x14ac:dyDescent="0.25">
      <c r="A43" t="s">
        <v>167</v>
      </c>
      <c r="B43" t="s">
        <v>168</v>
      </c>
      <c r="C43" t="s">
        <v>169</v>
      </c>
      <c r="D43" t="s">
        <v>22</v>
      </c>
      <c r="E43" t="s">
        <v>57</v>
      </c>
      <c r="F43" t="s">
        <v>58</v>
      </c>
      <c r="G43">
        <v>12</v>
      </c>
      <c r="H43">
        <v>464</v>
      </c>
      <c r="I43">
        <v>5568</v>
      </c>
      <c r="J43" t="s">
        <v>62</v>
      </c>
      <c r="K43" t="s">
        <v>77</v>
      </c>
    </row>
    <row r="44" spans="1:11" x14ac:dyDescent="0.25">
      <c r="A44" t="s">
        <v>170</v>
      </c>
      <c r="B44" t="s">
        <v>171</v>
      </c>
      <c r="C44" t="s">
        <v>172</v>
      </c>
      <c r="D44" t="s">
        <v>40</v>
      </c>
      <c r="E44" t="s">
        <v>34</v>
      </c>
      <c r="F44" t="s">
        <v>112</v>
      </c>
      <c r="G44">
        <v>8</v>
      </c>
      <c r="H44">
        <v>735</v>
      </c>
      <c r="I44">
        <v>5880</v>
      </c>
      <c r="J44" t="s">
        <v>36</v>
      </c>
      <c r="K44" t="s">
        <v>53</v>
      </c>
    </row>
    <row r="45" spans="1:11" x14ac:dyDescent="0.25">
      <c r="A45" t="s">
        <v>173</v>
      </c>
      <c r="B45" t="s">
        <v>174</v>
      </c>
      <c r="C45" t="s">
        <v>175</v>
      </c>
      <c r="D45" t="s">
        <v>14</v>
      </c>
      <c r="E45" t="s">
        <v>34</v>
      </c>
      <c r="F45" t="s">
        <v>35</v>
      </c>
      <c r="G45">
        <v>17</v>
      </c>
      <c r="H45">
        <v>312</v>
      </c>
      <c r="I45">
        <v>5304</v>
      </c>
      <c r="J45" t="s">
        <v>36</v>
      </c>
      <c r="K45" t="s">
        <v>77</v>
      </c>
    </row>
    <row r="46" spans="1:11" x14ac:dyDescent="0.25">
      <c r="A46" t="s">
        <v>176</v>
      </c>
      <c r="B46" t="s">
        <v>162</v>
      </c>
      <c r="C46" t="s">
        <v>177</v>
      </c>
      <c r="D46" t="s">
        <v>46</v>
      </c>
      <c r="E46" t="s">
        <v>15</v>
      </c>
      <c r="F46" t="s">
        <v>16</v>
      </c>
      <c r="G46">
        <v>11</v>
      </c>
      <c r="H46">
        <v>154</v>
      </c>
      <c r="I46">
        <v>1694</v>
      </c>
      <c r="J46" t="s">
        <v>36</v>
      </c>
      <c r="K46" t="s">
        <v>48</v>
      </c>
    </row>
    <row r="47" spans="1:11" x14ac:dyDescent="0.25">
      <c r="A47" t="s">
        <v>178</v>
      </c>
      <c r="B47" t="s">
        <v>179</v>
      </c>
      <c r="C47" t="s">
        <v>180</v>
      </c>
      <c r="D47" t="s">
        <v>46</v>
      </c>
      <c r="E47" t="s">
        <v>28</v>
      </c>
      <c r="F47" t="s">
        <v>41</v>
      </c>
      <c r="G47">
        <v>1</v>
      </c>
      <c r="H47">
        <v>1178</v>
      </c>
      <c r="I47">
        <v>1178</v>
      </c>
      <c r="J47" t="s">
        <v>30</v>
      </c>
      <c r="K47" t="s">
        <v>48</v>
      </c>
    </row>
    <row r="48" spans="1:11" x14ac:dyDescent="0.25">
      <c r="A48" t="s">
        <v>181</v>
      </c>
      <c r="B48" t="s">
        <v>95</v>
      </c>
      <c r="C48" t="s">
        <v>182</v>
      </c>
      <c r="D48" t="s">
        <v>40</v>
      </c>
      <c r="E48" t="s">
        <v>34</v>
      </c>
      <c r="F48" t="s">
        <v>35</v>
      </c>
      <c r="G48">
        <v>7</v>
      </c>
      <c r="H48">
        <v>883</v>
      </c>
      <c r="I48">
        <v>6181</v>
      </c>
      <c r="J48" t="s">
        <v>36</v>
      </c>
      <c r="K48" t="s">
        <v>48</v>
      </c>
    </row>
    <row r="49" spans="1:11" x14ac:dyDescent="0.25">
      <c r="A49" t="s">
        <v>183</v>
      </c>
      <c r="B49" t="s">
        <v>184</v>
      </c>
      <c r="C49" t="s">
        <v>185</v>
      </c>
      <c r="D49" t="s">
        <v>22</v>
      </c>
      <c r="E49" t="s">
        <v>15</v>
      </c>
      <c r="F49" t="s">
        <v>154</v>
      </c>
      <c r="G49">
        <v>10</v>
      </c>
      <c r="H49">
        <v>1070</v>
      </c>
      <c r="I49">
        <v>10700</v>
      </c>
      <c r="J49" t="s">
        <v>36</v>
      </c>
      <c r="K49" t="s">
        <v>70</v>
      </c>
    </row>
    <row r="50" spans="1:11" x14ac:dyDescent="0.25">
      <c r="A50" t="s">
        <v>186</v>
      </c>
      <c r="B50" t="s">
        <v>26</v>
      </c>
      <c r="C50" t="s">
        <v>187</v>
      </c>
      <c r="D50" t="s">
        <v>46</v>
      </c>
      <c r="E50" t="s">
        <v>34</v>
      </c>
      <c r="F50" t="s">
        <v>47</v>
      </c>
      <c r="G50">
        <v>8</v>
      </c>
      <c r="H50">
        <v>1532</v>
      </c>
      <c r="I50">
        <v>12256</v>
      </c>
      <c r="J50" t="s">
        <v>36</v>
      </c>
      <c r="K50" t="s">
        <v>18</v>
      </c>
    </row>
    <row r="51" spans="1:11" x14ac:dyDescent="0.25">
      <c r="A51" t="s">
        <v>188</v>
      </c>
      <c r="B51" t="s">
        <v>189</v>
      </c>
      <c r="C51" t="s">
        <v>190</v>
      </c>
      <c r="D51" t="s">
        <v>40</v>
      </c>
      <c r="E51" t="s">
        <v>34</v>
      </c>
      <c r="F51" t="s">
        <v>35</v>
      </c>
      <c r="G51">
        <v>14</v>
      </c>
      <c r="H51">
        <v>658</v>
      </c>
      <c r="I51">
        <v>9212</v>
      </c>
      <c r="J51" t="s">
        <v>17</v>
      </c>
      <c r="K51" t="s">
        <v>48</v>
      </c>
    </row>
    <row r="52" spans="1:11" x14ac:dyDescent="0.25">
      <c r="A52" t="s">
        <v>191</v>
      </c>
      <c r="B52" t="s">
        <v>141</v>
      </c>
      <c r="C52" t="s">
        <v>192</v>
      </c>
      <c r="D52" t="s">
        <v>22</v>
      </c>
      <c r="E52" t="s">
        <v>15</v>
      </c>
      <c r="F52" t="s">
        <v>66</v>
      </c>
      <c r="G52">
        <v>9</v>
      </c>
      <c r="H52">
        <v>907</v>
      </c>
      <c r="I52">
        <v>8163</v>
      </c>
      <c r="J52" t="s">
        <v>17</v>
      </c>
      <c r="K52" t="s">
        <v>77</v>
      </c>
    </row>
    <row r="53" spans="1:11" x14ac:dyDescent="0.25">
      <c r="A53" t="s">
        <v>193</v>
      </c>
      <c r="B53" t="s">
        <v>114</v>
      </c>
      <c r="C53" t="s">
        <v>194</v>
      </c>
      <c r="D53" t="s">
        <v>22</v>
      </c>
      <c r="E53" t="s">
        <v>57</v>
      </c>
      <c r="F53" t="s">
        <v>106</v>
      </c>
      <c r="G53">
        <v>12</v>
      </c>
      <c r="H53">
        <v>188</v>
      </c>
      <c r="I53">
        <v>2256</v>
      </c>
      <c r="J53" t="s">
        <v>30</v>
      </c>
      <c r="K53" t="s">
        <v>77</v>
      </c>
    </row>
    <row r="54" spans="1:11" x14ac:dyDescent="0.25">
      <c r="A54" t="s">
        <v>195</v>
      </c>
      <c r="B54" t="s">
        <v>196</v>
      </c>
      <c r="C54" t="s">
        <v>197</v>
      </c>
      <c r="D54" t="s">
        <v>46</v>
      </c>
      <c r="E54" t="s">
        <v>15</v>
      </c>
      <c r="F54" t="s">
        <v>154</v>
      </c>
      <c r="G54">
        <v>7</v>
      </c>
      <c r="H54">
        <v>853</v>
      </c>
      <c r="I54">
        <v>5971</v>
      </c>
      <c r="J54" t="s">
        <v>30</v>
      </c>
      <c r="K54" t="s">
        <v>70</v>
      </c>
    </row>
    <row r="55" spans="1:11" x14ac:dyDescent="0.25">
      <c r="A55" t="s">
        <v>198</v>
      </c>
      <c r="B55" t="s">
        <v>130</v>
      </c>
      <c r="C55" t="s">
        <v>199</v>
      </c>
      <c r="D55" t="s">
        <v>46</v>
      </c>
      <c r="E55" t="s">
        <v>28</v>
      </c>
      <c r="F55" t="s">
        <v>29</v>
      </c>
      <c r="G55">
        <v>17</v>
      </c>
      <c r="H55">
        <v>1292</v>
      </c>
      <c r="I55">
        <v>21964</v>
      </c>
      <c r="J55" t="s">
        <v>17</v>
      </c>
      <c r="K55" t="s">
        <v>70</v>
      </c>
    </row>
    <row r="56" spans="1:11" x14ac:dyDescent="0.25">
      <c r="A56" t="s">
        <v>200</v>
      </c>
      <c r="B56" t="s">
        <v>201</v>
      </c>
      <c r="C56" t="s">
        <v>202</v>
      </c>
      <c r="D56" t="s">
        <v>22</v>
      </c>
      <c r="E56" t="s">
        <v>57</v>
      </c>
      <c r="F56" t="s">
        <v>135</v>
      </c>
      <c r="G56">
        <v>15</v>
      </c>
      <c r="H56">
        <v>1731</v>
      </c>
      <c r="I56">
        <v>25965</v>
      </c>
      <c r="J56" t="s">
        <v>62</v>
      </c>
      <c r="K56" t="s">
        <v>24</v>
      </c>
    </row>
    <row r="57" spans="1:11" x14ac:dyDescent="0.25">
      <c r="A57" t="s">
        <v>203</v>
      </c>
      <c r="B57" t="s">
        <v>204</v>
      </c>
      <c r="C57" t="s">
        <v>205</v>
      </c>
      <c r="D57" t="s">
        <v>22</v>
      </c>
      <c r="E57" t="s">
        <v>28</v>
      </c>
      <c r="F57" t="s">
        <v>29</v>
      </c>
      <c r="G57">
        <v>13</v>
      </c>
      <c r="H57">
        <v>885</v>
      </c>
      <c r="I57">
        <v>11505</v>
      </c>
      <c r="J57" t="s">
        <v>36</v>
      </c>
      <c r="K57" t="s">
        <v>18</v>
      </c>
    </row>
    <row r="58" spans="1:11" x14ac:dyDescent="0.25">
      <c r="A58" t="s">
        <v>206</v>
      </c>
      <c r="B58" t="s">
        <v>114</v>
      </c>
      <c r="C58" t="s">
        <v>207</v>
      </c>
      <c r="D58" t="s">
        <v>22</v>
      </c>
      <c r="E58" t="s">
        <v>15</v>
      </c>
      <c r="F58" t="s">
        <v>16</v>
      </c>
      <c r="G58">
        <v>12</v>
      </c>
      <c r="H58">
        <v>1417</v>
      </c>
      <c r="I58">
        <v>17004</v>
      </c>
      <c r="J58" t="s">
        <v>36</v>
      </c>
      <c r="K58" t="s">
        <v>53</v>
      </c>
    </row>
    <row r="59" spans="1:11" x14ac:dyDescent="0.25">
      <c r="A59" t="s">
        <v>208</v>
      </c>
      <c r="B59" t="s">
        <v>50</v>
      </c>
      <c r="C59" t="s">
        <v>209</v>
      </c>
      <c r="D59" t="s">
        <v>14</v>
      </c>
      <c r="E59" t="s">
        <v>57</v>
      </c>
      <c r="F59" t="s">
        <v>58</v>
      </c>
      <c r="G59">
        <v>3</v>
      </c>
      <c r="H59">
        <v>489</v>
      </c>
      <c r="I59">
        <v>1467</v>
      </c>
      <c r="J59" t="s">
        <v>36</v>
      </c>
      <c r="K59" t="s">
        <v>53</v>
      </c>
    </row>
    <row r="60" spans="1:11" x14ac:dyDescent="0.25">
      <c r="A60" t="s">
        <v>210</v>
      </c>
      <c r="B60" t="s">
        <v>211</v>
      </c>
      <c r="C60" t="s">
        <v>212</v>
      </c>
      <c r="D60" t="s">
        <v>46</v>
      </c>
      <c r="E60" t="s">
        <v>34</v>
      </c>
      <c r="F60" t="s">
        <v>47</v>
      </c>
      <c r="G60">
        <v>15</v>
      </c>
      <c r="H60">
        <v>1646</v>
      </c>
      <c r="I60">
        <v>24690</v>
      </c>
      <c r="J60" t="s">
        <v>17</v>
      </c>
      <c r="K60" t="s">
        <v>24</v>
      </c>
    </row>
    <row r="61" spans="1:11" x14ac:dyDescent="0.25">
      <c r="A61" t="s">
        <v>213</v>
      </c>
      <c r="B61" t="s">
        <v>214</v>
      </c>
      <c r="C61" t="s">
        <v>215</v>
      </c>
      <c r="D61" t="s">
        <v>14</v>
      </c>
      <c r="E61" t="s">
        <v>28</v>
      </c>
      <c r="F61" t="s">
        <v>29</v>
      </c>
      <c r="G61">
        <v>6</v>
      </c>
      <c r="H61">
        <v>1744</v>
      </c>
      <c r="I61">
        <v>10464</v>
      </c>
      <c r="J61" t="s">
        <v>62</v>
      </c>
      <c r="K61" t="s">
        <v>48</v>
      </c>
    </row>
    <row r="62" spans="1:11" x14ac:dyDescent="0.25">
      <c r="A62" t="s">
        <v>216</v>
      </c>
      <c r="B62" t="s">
        <v>217</v>
      </c>
      <c r="C62" t="s">
        <v>218</v>
      </c>
      <c r="D62" t="s">
        <v>22</v>
      </c>
      <c r="E62" t="s">
        <v>28</v>
      </c>
      <c r="F62" t="s">
        <v>29</v>
      </c>
      <c r="G62">
        <v>14</v>
      </c>
      <c r="H62">
        <v>1540</v>
      </c>
      <c r="I62">
        <v>21560</v>
      </c>
      <c r="J62" t="s">
        <v>17</v>
      </c>
      <c r="K62" t="s">
        <v>70</v>
      </c>
    </row>
    <row r="63" spans="1:11" x14ac:dyDescent="0.25">
      <c r="A63" t="s">
        <v>219</v>
      </c>
      <c r="B63" t="s">
        <v>220</v>
      </c>
      <c r="C63" t="s">
        <v>221</v>
      </c>
      <c r="D63" t="s">
        <v>46</v>
      </c>
      <c r="E63" t="s">
        <v>15</v>
      </c>
      <c r="F63" t="s">
        <v>16</v>
      </c>
      <c r="G63">
        <v>5</v>
      </c>
      <c r="H63">
        <v>1252</v>
      </c>
      <c r="I63">
        <v>6260</v>
      </c>
      <c r="J63" t="s">
        <v>17</v>
      </c>
      <c r="K63" t="s">
        <v>70</v>
      </c>
    </row>
    <row r="64" spans="1:11" x14ac:dyDescent="0.25">
      <c r="A64" t="s">
        <v>222</v>
      </c>
      <c r="B64" t="s">
        <v>223</v>
      </c>
      <c r="C64" t="s">
        <v>224</v>
      </c>
      <c r="D64" t="s">
        <v>22</v>
      </c>
      <c r="E64" t="s">
        <v>34</v>
      </c>
      <c r="F64" t="s">
        <v>47</v>
      </c>
      <c r="G64">
        <v>16</v>
      </c>
      <c r="H64">
        <v>1668</v>
      </c>
      <c r="I64">
        <v>26688</v>
      </c>
      <c r="J64" t="s">
        <v>36</v>
      </c>
      <c r="K64" t="s">
        <v>24</v>
      </c>
    </row>
    <row r="65" spans="1:11" x14ac:dyDescent="0.25">
      <c r="A65" t="s">
        <v>225</v>
      </c>
      <c r="B65" t="s">
        <v>226</v>
      </c>
      <c r="C65" t="s">
        <v>227</v>
      </c>
      <c r="D65" t="s">
        <v>14</v>
      </c>
      <c r="E65" t="s">
        <v>34</v>
      </c>
      <c r="F65" t="s">
        <v>35</v>
      </c>
      <c r="G65">
        <v>2</v>
      </c>
      <c r="H65">
        <v>1077</v>
      </c>
      <c r="I65">
        <v>2154</v>
      </c>
      <c r="J65" t="s">
        <v>30</v>
      </c>
      <c r="K65" t="s">
        <v>77</v>
      </c>
    </row>
    <row r="66" spans="1:11" x14ac:dyDescent="0.25">
      <c r="A66" t="s">
        <v>228</v>
      </c>
      <c r="B66" t="s">
        <v>229</v>
      </c>
      <c r="C66" t="s">
        <v>230</v>
      </c>
      <c r="D66" t="s">
        <v>46</v>
      </c>
      <c r="E66" t="s">
        <v>34</v>
      </c>
      <c r="F66" t="s">
        <v>35</v>
      </c>
      <c r="G66">
        <v>17</v>
      </c>
      <c r="H66">
        <v>376</v>
      </c>
      <c r="I66">
        <v>6392</v>
      </c>
      <c r="J66" t="s">
        <v>30</v>
      </c>
      <c r="K66" t="s">
        <v>48</v>
      </c>
    </row>
    <row r="67" spans="1:11" x14ac:dyDescent="0.25">
      <c r="A67" t="s">
        <v>231</v>
      </c>
      <c r="B67" t="s">
        <v>232</v>
      </c>
      <c r="C67" t="s">
        <v>233</v>
      </c>
      <c r="D67" t="s">
        <v>14</v>
      </c>
      <c r="E67" t="s">
        <v>57</v>
      </c>
      <c r="F67" t="s">
        <v>135</v>
      </c>
      <c r="G67">
        <v>6</v>
      </c>
      <c r="H67">
        <v>453</v>
      </c>
      <c r="I67">
        <v>2718</v>
      </c>
      <c r="J67" t="s">
        <v>62</v>
      </c>
      <c r="K67" t="s">
        <v>77</v>
      </c>
    </row>
    <row r="68" spans="1:11" x14ac:dyDescent="0.25">
      <c r="A68" t="s">
        <v>234</v>
      </c>
      <c r="B68" t="s">
        <v>235</v>
      </c>
      <c r="C68" t="s">
        <v>236</v>
      </c>
      <c r="D68" t="s">
        <v>14</v>
      </c>
      <c r="E68" t="s">
        <v>28</v>
      </c>
      <c r="F68" t="s">
        <v>52</v>
      </c>
      <c r="G68">
        <v>5</v>
      </c>
      <c r="H68">
        <v>1554</v>
      </c>
      <c r="I68">
        <v>7770</v>
      </c>
      <c r="J68" t="s">
        <v>36</v>
      </c>
      <c r="K68" t="s">
        <v>18</v>
      </c>
    </row>
    <row r="69" spans="1:11" x14ac:dyDescent="0.25">
      <c r="A69" t="s">
        <v>237</v>
      </c>
      <c r="B69" t="s">
        <v>238</v>
      </c>
      <c r="C69" t="s">
        <v>239</v>
      </c>
      <c r="D69" t="s">
        <v>14</v>
      </c>
      <c r="E69" t="s">
        <v>57</v>
      </c>
      <c r="F69" t="s">
        <v>139</v>
      </c>
      <c r="G69">
        <v>15</v>
      </c>
      <c r="H69">
        <v>1915</v>
      </c>
      <c r="I69">
        <v>28725</v>
      </c>
      <c r="J69" t="s">
        <v>36</v>
      </c>
      <c r="K69" t="s">
        <v>24</v>
      </c>
    </row>
    <row r="70" spans="1:11" x14ac:dyDescent="0.25">
      <c r="A70" t="s">
        <v>240</v>
      </c>
      <c r="B70" t="s">
        <v>241</v>
      </c>
      <c r="C70" t="s">
        <v>242</v>
      </c>
      <c r="D70" t="s">
        <v>22</v>
      </c>
      <c r="E70" t="s">
        <v>28</v>
      </c>
      <c r="F70" t="s">
        <v>52</v>
      </c>
      <c r="G70">
        <v>13</v>
      </c>
      <c r="H70">
        <v>596</v>
      </c>
      <c r="I70">
        <v>7748</v>
      </c>
      <c r="J70" t="s">
        <v>30</v>
      </c>
      <c r="K70" t="s">
        <v>42</v>
      </c>
    </row>
    <row r="71" spans="1:11" x14ac:dyDescent="0.25">
      <c r="A71" t="s">
        <v>243</v>
      </c>
      <c r="B71" t="s">
        <v>244</v>
      </c>
      <c r="C71" t="s">
        <v>245</v>
      </c>
      <c r="D71" t="s">
        <v>40</v>
      </c>
      <c r="E71" t="s">
        <v>15</v>
      </c>
      <c r="F71" t="s">
        <v>154</v>
      </c>
      <c r="G71">
        <v>2</v>
      </c>
      <c r="H71">
        <v>883</v>
      </c>
      <c r="I71">
        <v>1766</v>
      </c>
      <c r="J71" t="s">
        <v>62</v>
      </c>
      <c r="K71" t="s">
        <v>18</v>
      </c>
    </row>
    <row r="72" spans="1:11" x14ac:dyDescent="0.25">
      <c r="A72" t="s">
        <v>246</v>
      </c>
      <c r="B72" t="s">
        <v>247</v>
      </c>
      <c r="C72" t="s">
        <v>248</v>
      </c>
      <c r="D72" t="s">
        <v>22</v>
      </c>
      <c r="E72" t="s">
        <v>28</v>
      </c>
      <c r="F72" t="s">
        <v>119</v>
      </c>
      <c r="G72">
        <v>16</v>
      </c>
      <c r="H72">
        <v>1466</v>
      </c>
      <c r="I72">
        <v>23456</v>
      </c>
      <c r="J72" t="s">
        <v>36</v>
      </c>
      <c r="K72" t="s">
        <v>18</v>
      </c>
    </row>
    <row r="73" spans="1:11" x14ac:dyDescent="0.25">
      <c r="A73" t="s">
        <v>249</v>
      </c>
      <c r="B73" t="s">
        <v>250</v>
      </c>
      <c r="C73" t="s">
        <v>251</v>
      </c>
      <c r="D73" t="s">
        <v>40</v>
      </c>
      <c r="E73" t="s">
        <v>15</v>
      </c>
      <c r="F73" t="s">
        <v>154</v>
      </c>
      <c r="G73">
        <v>14</v>
      </c>
      <c r="H73">
        <v>734</v>
      </c>
      <c r="I73">
        <v>10276</v>
      </c>
      <c r="J73" t="s">
        <v>36</v>
      </c>
      <c r="K73" t="s">
        <v>53</v>
      </c>
    </row>
    <row r="74" spans="1:11" x14ac:dyDescent="0.25">
      <c r="A74" t="s">
        <v>252</v>
      </c>
      <c r="B74" t="s">
        <v>253</v>
      </c>
      <c r="C74" t="s">
        <v>254</v>
      </c>
      <c r="D74" t="s">
        <v>46</v>
      </c>
      <c r="E74" t="s">
        <v>15</v>
      </c>
      <c r="F74" t="s">
        <v>66</v>
      </c>
      <c r="G74">
        <v>3</v>
      </c>
      <c r="H74">
        <v>412</v>
      </c>
      <c r="I74">
        <v>1236</v>
      </c>
      <c r="J74" t="s">
        <v>17</v>
      </c>
      <c r="K74" t="s">
        <v>48</v>
      </c>
    </row>
    <row r="75" spans="1:11" x14ac:dyDescent="0.25">
      <c r="A75" t="s">
        <v>255</v>
      </c>
      <c r="B75" t="s">
        <v>149</v>
      </c>
      <c r="C75" t="s">
        <v>256</v>
      </c>
      <c r="D75" t="s">
        <v>22</v>
      </c>
      <c r="E75" t="s">
        <v>34</v>
      </c>
      <c r="F75" t="s">
        <v>35</v>
      </c>
      <c r="G75">
        <v>1</v>
      </c>
      <c r="H75">
        <v>544</v>
      </c>
      <c r="I75">
        <v>544</v>
      </c>
      <c r="J75" t="s">
        <v>62</v>
      </c>
      <c r="K75" t="s">
        <v>77</v>
      </c>
    </row>
    <row r="76" spans="1:11" x14ac:dyDescent="0.25">
      <c r="A76" t="s">
        <v>257</v>
      </c>
      <c r="B76" t="s">
        <v>258</v>
      </c>
      <c r="C76" t="s">
        <v>259</v>
      </c>
      <c r="D76" t="s">
        <v>22</v>
      </c>
      <c r="E76" t="s">
        <v>34</v>
      </c>
      <c r="F76" t="s">
        <v>35</v>
      </c>
      <c r="G76">
        <v>14</v>
      </c>
      <c r="H76">
        <v>1392</v>
      </c>
      <c r="I76">
        <v>19488</v>
      </c>
      <c r="J76" t="s">
        <v>30</v>
      </c>
      <c r="K76" t="s">
        <v>24</v>
      </c>
    </row>
    <row r="77" spans="1:11" x14ac:dyDescent="0.25">
      <c r="A77" t="s">
        <v>260</v>
      </c>
      <c r="B77" t="s">
        <v>261</v>
      </c>
      <c r="C77" t="s">
        <v>262</v>
      </c>
      <c r="D77" t="s">
        <v>40</v>
      </c>
      <c r="E77" t="s">
        <v>28</v>
      </c>
      <c r="F77" t="s">
        <v>119</v>
      </c>
      <c r="G77">
        <v>2</v>
      </c>
      <c r="H77">
        <v>1856</v>
      </c>
      <c r="I77">
        <v>3712</v>
      </c>
      <c r="J77" t="s">
        <v>30</v>
      </c>
      <c r="K77" t="s">
        <v>70</v>
      </c>
    </row>
    <row r="78" spans="1:11" x14ac:dyDescent="0.25">
      <c r="A78" t="s">
        <v>263</v>
      </c>
      <c r="B78" t="s">
        <v>264</v>
      </c>
      <c r="C78" t="s">
        <v>265</v>
      </c>
      <c r="D78" t="s">
        <v>14</v>
      </c>
      <c r="E78" t="s">
        <v>34</v>
      </c>
      <c r="F78" t="s">
        <v>47</v>
      </c>
      <c r="G78">
        <v>2</v>
      </c>
      <c r="H78">
        <v>819</v>
      </c>
      <c r="I78">
        <v>1638</v>
      </c>
      <c r="J78" t="s">
        <v>17</v>
      </c>
      <c r="K78" t="s">
        <v>70</v>
      </c>
    </row>
    <row r="79" spans="1:11" x14ac:dyDescent="0.25">
      <c r="A79" t="s">
        <v>266</v>
      </c>
      <c r="B79" t="s">
        <v>267</v>
      </c>
      <c r="C79" t="s">
        <v>268</v>
      </c>
      <c r="D79" t="s">
        <v>22</v>
      </c>
      <c r="E79" t="s">
        <v>28</v>
      </c>
      <c r="F79" t="s">
        <v>29</v>
      </c>
      <c r="G79">
        <v>13</v>
      </c>
      <c r="H79">
        <v>340</v>
      </c>
      <c r="I79">
        <v>4420</v>
      </c>
      <c r="J79" t="s">
        <v>62</v>
      </c>
      <c r="K79" t="s">
        <v>24</v>
      </c>
    </row>
    <row r="80" spans="1:11" x14ac:dyDescent="0.25">
      <c r="A80" t="s">
        <v>269</v>
      </c>
      <c r="B80" t="s">
        <v>211</v>
      </c>
      <c r="C80" t="s">
        <v>270</v>
      </c>
      <c r="D80" t="s">
        <v>46</v>
      </c>
      <c r="E80" t="s">
        <v>28</v>
      </c>
      <c r="F80" t="s">
        <v>119</v>
      </c>
      <c r="G80">
        <v>9</v>
      </c>
      <c r="H80">
        <v>424</v>
      </c>
      <c r="I80">
        <v>3816</v>
      </c>
      <c r="J80" t="s">
        <v>36</v>
      </c>
      <c r="K80" t="s">
        <v>70</v>
      </c>
    </row>
    <row r="81" spans="1:11" x14ac:dyDescent="0.25">
      <c r="A81" t="s">
        <v>271</v>
      </c>
      <c r="B81" t="s">
        <v>272</v>
      </c>
      <c r="C81" t="s">
        <v>273</v>
      </c>
      <c r="D81" t="s">
        <v>46</v>
      </c>
      <c r="E81" t="s">
        <v>34</v>
      </c>
      <c r="F81" t="s">
        <v>112</v>
      </c>
      <c r="G81">
        <v>5</v>
      </c>
      <c r="H81">
        <v>391</v>
      </c>
      <c r="I81">
        <v>1955</v>
      </c>
      <c r="J81" t="s">
        <v>36</v>
      </c>
      <c r="K81" t="s">
        <v>48</v>
      </c>
    </row>
    <row r="82" spans="1:11" x14ac:dyDescent="0.25">
      <c r="A82" t="s">
        <v>274</v>
      </c>
      <c r="B82" t="s">
        <v>275</v>
      </c>
      <c r="C82" t="s">
        <v>276</v>
      </c>
      <c r="D82" t="s">
        <v>22</v>
      </c>
      <c r="E82" t="s">
        <v>15</v>
      </c>
      <c r="F82" t="s">
        <v>23</v>
      </c>
      <c r="G82">
        <v>8</v>
      </c>
      <c r="H82">
        <v>1088</v>
      </c>
      <c r="I82">
        <v>8704</v>
      </c>
      <c r="J82" t="s">
        <v>30</v>
      </c>
      <c r="K82" t="s">
        <v>18</v>
      </c>
    </row>
    <row r="83" spans="1:11" x14ac:dyDescent="0.25">
      <c r="A83" t="s">
        <v>277</v>
      </c>
      <c r="B83" t="s">
        <v>278</v>
      </c>
      <c r="C83" t="s">
        <v>279</v>
      </c>
      <c r="D83" t="s">
        <v>22</v>
      </c>
      <c r="E83" t="s">
        <v>34</v>
      </c>
      <c r="F83" t="s">
        <v>84</v>
      </c>
      <c r="G83">
        <v>4</v>
      </c>
      <c r="H83">
        <v>829</v>
      </c>
      <c r="I83">
        <v>3316</v>
      </c>
      <c r="J83" t="s">
        <v>30</v>
      </c>
      <c r="K83" t="s">
        <v>77</v>
      </c>
    </row>
    <row r="84" spans="1:11" x14ac:dyDescent="0.25">
      <c r="A84" t="s">
        <v>280</v>
      </c>
      <c r="B84" t="s">
        <v>50</v>
      </c>
      <c r="C84" t="s">
        <v>281</v>
      </c>
      <c r="D84" t="s">
        <v>40</v>
      </c>
      <c r="E84" t="s">
        <v>57</v>
      </c>
      <c r="F84" t="s">
        <v>139</v>
      </c>
      <c r="G84">
        <v>8</v>
      </c>
      <c r="H84">
        <v>890</v>
      </c>
      <c r="I84">
        <v>7120</v>
      </c>
      <c r="J84" t="s">
        <v>17</v>
      </c>
      <c r="K84" t="s">
        <v>42</v>
      </c>
    </row>
    <row r="85" spans="1:11" x14ac:dyDescent="0.25">
      <c r="A85" t="s">
        <v>282</v>
      </c>
      <c r="B85" t="s">
        <v>214</v>
      </c>
      <c r="C85" t="s">
        <v>283</v>
      </c>
      <c r="D85" t="s">
        <v>40</v>
      </c>
      <c r="E85" t="s">
        <v>57</v>
      </c>
      <c r="F85" t="s">
        <v>139</v>
      </c>
      <c r="G85">
        <v>14</v>
      </c>
      <c r="H85">
        <v>798</v>
      </c>
      <c r="I85">
        <v>11172</v>
      </c>
      <c r="J85" t="s">
        <v>36</v>
      </c>
      <c r="K85" t="s">
        <v>48</v>
      </c>
    </row>
    <row r="86" spans="1:11" x14ac:dyDescent="0.25">
      <c r="A86" t="s">
        <v>284</v>
      </c>
      <c r="B86" t="s">
        <v>285</v>
      </c>
      <c r="C86" t="s">
        <v>286</v>
      </c>
      <c r="D86" t="s">
        <v>46</v>
      </c>
      <c r="E86" t="s">
        <v>15</v>
      </c>
      <c r="F86" t="s">
        <v>66</v>
      </c>
      <c r="G86">
        <v>11</v>
      </c>
      <c r="H86">
        <v>548</v>
      </c>
      <c r="I86">
        <v>6028</v>
      </c>
      <c r="J86" t="s">
        <v>17</v>
      </c>
      <c r="K86" t="s">
        <v>70</v>
      </c>
    </row>
    <row r="87" spans="1:11" x14ac:dyDescent="0.25">
      <c r="A87" t="s">
        <v>287</v>
      </c>
      <c r="B87" t="s">
        <v>288</v>
      </c>
      <c r="C87" t="s">
        <v>289</v>
      </c>
      <c r="D87" t="s">
        <v>14</v>
      </c>
      <c r="E87" t="s">
        <v>15</v>
      </c>
      <c r="F87" t="s">
        <v>66</v>
      </c>
      <c r="G87">
        <v>1</v>
      </c>
      <c r="H87">
        <v>612</v>
      </c>
      <c r="I87">
        <v>612</v>
      </c>
      <c r="J87" t="s">
        <v>36</v>
      </c>
      <c r="K87" t="s">
        <v>53</v>
      </c>
    </row>
    <row r="88" spans="1:11" x14ac:dyDescent="0.25">
      <c r="A88" t="s">
        <v>290</v>
      </c>
      <c r="B88" t="s">
        <v>291</v>
      </c>
      <c r="C88" t="s">
        <v>292</v>
      </c>
      <c r="D88" t="s">
        <v>22</v>
      </c>
      <c r="E88" t="s">
        <v>28</v>
      </c>
      <c r="F88" t="s">
        <v>119</v>
      </c>
      <c r="G88">
        <v>14</v>
      </c>
      <c r="H88">
        <v>927</v>
      </c>
      <c r="I88">
        <v>12978</v>
      </c>
      <c r="J88" t="s">
        <v>17</v>
      </c>
      <c r="K88" t="s">
        <v>53</v>
      </c>
    </row>
    <row r="89" spans="1:11" x14ac:dyDescent="0.25">
      <c r="A89" t="s">
        <v>293</v>
      </c>
      <c r="B89" t="s">
        <v>294</v>
      </c>
      <c r="C89" t="s">
        <v>295</v>
      </c>
      <c r="D89" t="s">
        <v>46</v>
      </c>
      <c r="E89" t="s">
        <v>57</v>
      </c>
      <c r="F89" t="s">
        <v>139</v>
      </c>
      <c r="G89">
        <v>16</v>
      </c>
      <c r="H89">
        <v>204</v>
      </c>
      <c r="I89">
        <v>3264</v>
      </c>
      <c r="J89" t="s">
        <v>62</v>
      </c>
      <c r="K89" t="s">
        <v>53</v>
      </c>
    </row>
    <row r="90" spans="1:11" x14ac:dyDescent="0.25">
      <c r="A90" t="s">
        <v>296</v>
      </c>
      <c r="B90" t="s">
        <v>12</v>
      </c>
      <c r="C90" t="s">
        <v>297</v>
      </c>
      <c r="D90" t="s">
        <v>46</v>
      </c>
      <c r="E90" t="s">
        <v>34</v>
      </c>
      <c r="F90" t="s">
        <v>112</v>
      </c>
      <c r="G90">
        <v>15</v>
      </c>
      <c r="H90">
        <v>1330</v>
      </c>
      <c r="I90">
        <v>19950</v>
      </c>
      <c r="J90" t="s">
        <v>17</v>
      </c>
      <c r="K90" t="s">
        <v>53</v>
      </c>
    </row>
    <row r="91" spans="1:11" x14ac:dyDescent="0.25">
      <c r="A91" t="s">
        <v>298</v>
      </c>
      <c r="B91" t="s">
        <v>299</v>
      </c>
      <c r="C91" t="s">
        <v>300</v>
      </c>
      <c r="D91" t="s">
        <v>22</v>
      </c>
      <c r="E91" t="s">
        <v>28</v>
      </c>
      <c r="F91" t="s">
        <v>52</v>
      </c>
      <c r="G91">
        <v>2</v>
      </c>
      <c r="H91">
        <v>1939</v>
      </c>
      <c r="I91">
        <v>3878</v>
      </c>
      <c r="J91" t="s">
        <v>17</v>
      </c>
      <c r="K91" t="s">
        <v>24</v>
      </c>
    </row>
    <row r="92" spans="1:11" x14ac:dyDescent="0.25">
      <c r="A92" t="s">
        <v>301</v>
      </c>
      <c r="B92" t="s">
        <v>302</v>
      </c>
      <c r="C92" t="s">
        <v>303</v>
      </c>
      <c r="D92" t="s">
        <v>14</v>
      </c>
      <c r="E92" t="s">
        <v>34</v>
      </c>
      <c r="F92" t="s">
        <v>35</v>
      </c>
      <c r="G92">
        <v>17</v>
      </c>
      <c r="H92">
        <v>235</v>
      </c>
      <c r="I92">
        <v>3995</v>
      </c>
      <c r="J92" t="s">
        <v>62</v>
      </c>
      <c r="K92" t="s">
        <v>18</v>
      </c>
    </row>
    <row r="93" spans="1:11" x14ac:dyDescent="0.25">
      <c r="A93" t="s">
        <v>304</v>
      </c>
      <c r="B93" t="s">
        <v>305</v>
      </c>
      <c r="C93" t="s">
        <v>306</v>
      </c>
      <c r="D93" t="s">
        <v>40</v>
      </c>
      <c r="E93" t="s">
        <v>28</v>
      </c>
      <c r="F93" t="s">
        <v>41</v>
      </c>
      <c r="G93">
        <v>2</v>
      </c>
      <c r="H93">
        <v>929</v>
      </c>
      <c r="I93">
        <v>1858</v>
      </c>
      <c r="J93" t="s">
        <v>36</v>
      </c>
      <c r="K93" t="s">
        <v>70</v>
      </c>
    </row>
    <row r="94" spans="1:11" x14ac:dyDescent="0.25">
      <c r="A94" t="s">
        <v>307</v>
      </c>
      <c r="B94" t="s">
        <v>308</v>
      </c>
      <c r="C94" t="s">
        <v>309</v>
      </c>
      <c r="D94" t="s">
        <v>14</v>
      </c>
      <c r="E94" t="s">
        <v>15</v>
      </c>
      <c r="F94" t="s">
        <v>16</v>
      </c>
      <c r="G94">
        <v>7</v>
      </c>
      <c r="H94">
        <v>1250</v>
      </c>
      <c r="I94">
        <v>8750</v>
      </c>
      <c r="J94" t="s">
        <v>17</v>
      </c>
      <c r="K94" t="s">
        <v>53</v>
      </c>
    </row>
    <row r="95" spans="1:11" x14ac:dyDescent="0.25">
      <c r="A95" t="s">
        <v>310</v>
      </c>
      <c r="B95" t="s">
        <v>311</v>
      </c>
      <c r="C95" t="s">
        <v>312</v>
      </c>
      <c r="D95" t="s">
        <v>46</v>
      </c>
      <c r="E95" t="s">
        <v>15</v>
      </c>
      <c r="F95" t="s">
        <v>16</v>
      </c>
      <c r="G95">
        <v>4</v>
      </c>
      <c r="H95">
        <v>1738</v>
      </c>
      <c r="I95">
        <v>6952</v>
      </c>
      <c r="J95" t="s">
        <v>62</v>
      </c>
      <c r="K95" t="s">
        <v>18</v>
      </c>
    </row>
    <row r="96" spans="1:11" x14ac:dyDescent="0.25">
      <c r="A96" t="s">
        <v>313</v>
      </c>
      <c r="B96" t="s">
        <v>314</v>
      </c>
      <c r="C96" t="s">
        <v>315</v>
      </c>
      <c r="D96" t="s">
        <v>22</v>
      </c>
      <c r="E96" t="s">
        <v>15</v>
      </c>
      <c r="F96" t="s">
        <v>16</v>
      </c>
      <c r="G96">
        <v>17</v>
      </c>
      <c r="H96">
        <v>1760</v>
      </c>
      <c r="I96">
        <v>29920</v>
      </c>
      <c r="J96" t="s">
        <v>17</v>
      </c>
      <c r="K96" t="s">
        <v>53</v>
      </c>
    </row>
    <row r="97" spans="1:11" x14ac:dyDescent="0.25">
      <c r="A97" t="s">
        <v>316</v>
      </c>
      <c r="B97" t="s">
        <v>317</v>
      </c>
      <c r="C97" t="s">
        <v>318</v>
      </c>
      <c r="D97" t="s">
        <v>40</v>
      </c>
      <c r="E97" t="s">
        <v>15</v>
      </c>
      <c r="F97" t="s">
        <v>66</v>
      </c>
      <c r="G97">
        <v>15</v>
      </c>
      <c r="H97">
        <v>140</v>
      </c>
      <c r="I97">
        <v>2100</v>
      </c>
      <c r="J97" t="s">
        <v>30</v>
      </c>
      <c r="K97" t="s">
        <v>77</v>
      </c>
    </row>
    <row r="98" spans="1:11" x14ac:dyDescent="0.25">
      <c r="A98" t="s">
        <v>319</v>
      </c>
      <c r="B98" t="s">
        <v>184</v>
      </c>
      <c r="C98" t="s">
        <v>320</v>
      </c>
      <c r="D98" t="s">
        <v>46</v>
      </c>
      <c r="E98" t="s">
        <v>28</v>
      </c>
      <c r="F98" t="s">
        <v>41</v>
      </c>
      <c r="G98">
        <v>14</v>
      </c>
      <c r="H98">
        <v>839</v>
      </c>
      <c r="I98">
        <v>11746</v>
      </c>
      <c r="J98" t="s">
        <v>17</v>
      </c>
      <c r="K98" t="s">
        <v>70</v>
      </c>
    </row>
    <row r="99" spans="1:11" x14ac:dyDescent="0.25">
      <c r="A99" t="s">
        <v>321</v>
      </c>
      <c r="B99" t="s">
        <v>322</v>
      </c>
      <c r="C99" t="s">
        <v>323</v>
      </c>
      <c r="D99" t="s">
        <v>14</v>
      </c>
      <c r="E99" t="s">
        <v>15</v>
      </c>
      <c r="F99" t="s">
        <v>154</v>
      </c>
      <c r="G99">
        <v>9</v>
      </c>
      <c r="H99">
        <v>1188</v>
      </c>
      <c r="I99">
        <v>10692</v>
      </c>
      <c r="J99" t="s">
        <v>36</v>
      </c>
      <c r="K99" t="s">
        <v>70</v>
      </c>
    </row>
    <row r="100" spans="1:11" x14ac:dyDescent="0.25">
      <c r="A100" t="s">
        <v>324</v>
      </c>
      <c r="B100" t="s">
        <v>325</v>
      </c>
      <c r="C100" t="s">
        <v>326</v>
      </c>
      <c r="D100" t="s">
        <v>40</v>
      </c>
      <c r="E100" t="s">
        <v>15</v>
      </c>
      <c r="F100" t="s">
        <v>16</v>
      </c>
      <c r="G100">
        <v>3</v>
      </c>
      <c r="H100">
        <v>1342</v>
      </c>
      <c r="I100">
        <v>4026</v>
      </c>
      <c r="J100" t="s">
        <v>62</v>
      </c>
      <c r="K100" t="s">
        <v>53</v>
      </c>
    </row>
    <row r="101" spans="1:11" x14ac:dyDescent="0.25">
      <c r="A101" t="s">
        <v>327</v>
      </c>
      <c r="B101" t="s">
        <v>121</v>
      </c>
      <c r="C101" t="s">
        <v>328</v>
      </c>
      <c r="D101" t="s">
        <v>46</v>
      </c>
      <c r="E101" t="s">
        <v>34</v>
      </c>
      <c r="F101" t="s">
        <v>84</v>
      </c>
      <c r="G101">
        <v>2</v>
      </c>
      <c r="H101">
        <v>856</v>
      </c>
      <c r="I101">
        <v>1712</v>
      </c>
      <c r="J101" t="s">
        <v>62</v>
      </c>
      <c r="K101" t="s">
        <v>42</v>
      </c>
    </row>
    <row r="102" spans="1:11" x14ac:dyDescent="0.25">
      <c r="A102" t="s">
        <v>329</v>
      </c>
      <c r="B102" t="s">
        <v>214</v>
      </c>
      <c r="C102" t="s">
        <v>330</v>
      </c>
      <c r="D102" t="s">
        <v>46</v>
      </c>
      <c r="E102" t="s">
        <v>15</v>
      </c>
      <c r="F102" t="s">
        <v>66</v>
      </c>
      <c r="G102">
        <v>8</v>
      </c>
      <c r="H102">
        <v>1470</v>
      </c>
      <c r="I102">
        <v>11760</v>
      </c>
      <c r="J102" t="s">
        <v>36</v>
      </c>
      <c r="K102" t="s">
        <v>70</v>
      </c>
    </row>
    <row r="103" spans="1:11" x14ac:dyDescent="0.25">
      <c r="A103" t="s">
        <v>331</v>
      </c>
      <c r="B103" t="s">
        <v>238</v>
      </c>
      <c r="C103" t="s">
        <v>332</v>
      </c>
      <c r="D103" t="s">
        <v>22</v>
      </c>
      <c r="E103" t="s">
        <v>57</v>
      </c>
      <c r="F103" t="s">
        <v>139</v>
      </c>
      <c r="G103">
        <v>8</v>
      </c>
      <c r="H103">
        <v>1125</v>
      </c>
      <c r="I103">
        <v>9000</v>
      </c>
      <c r="J103" t="s">
        <v>17</v>
      </c>
      <c r="K103" t="s">
        <v>77</v>
      </c>
    </row>
    <row r="104" spans="1:11" x14ac:dyDescent="0.25">
      <c r="A104" t="s">
        <v>333</v>
      </c>
      <c r="B104" t="s">
        <v>334</v>
      </c>
      <c r="C104" t="s">
        <v>335</v>
      </c>
      <c r="D104" t="s">
        <v>40</v>
      </c>
      <c r="E104" t="s">
        <v>57</v>
      </c>
      <c r="F104" t="s">
        <v>135</v>
      </c>
      <c r="G104">
        <v>9</v>
      </c>
      <c r="H104">
        <v>893</v>
      </c>
      <c r="I104">
        <v>8037</v>
      </c>
      <c r="J104" t="s">
        <v>62</v>
      </c>
      <c r="K104" t="s">
        <v>48</v>
      </c>
    </row>
    <row r="105" spans="1:11" x14ac:dyDescent="0.25">
      <c r="A105" t="s">
        <v>336</v>
      </c>
      <c r="B105" t="s">
        <v>337</v>
      </c>
      <c r="C105" t="s">
        <v>338</v>
      </c>
      <c r="D105" t="s">
        <v>40</v>
      </c>
      <c r="E105" t="s">
        <v>34</v>
      </c>
      <c r="F105" t="s">
        <v>47</v>
      </c>
      <c r="G105">
        <v>6</v>
      </c>
      <c r="H105">
        <v>848</v>
      </c>
      <c r="I105">
        <v>5088</v>
      </c>
      <c r="J105" t="s">
        <v>62</v>
      </c>
      <c r="K105" t="s">
        <v>42</v>
      </c>
    </row>
    <row r="106" spans="1:11" x14ac:dyDescent="0.25">
      <c r="A106" t="s">
        <v>339</v>
      </c>
      <c r="B106" t="s">
        <v>340</v>
      </c>
      <c r="C106" t="s">
        <v>341</v>
      </c>
      <c r="D106" t="s">
        <v>14</v>
      </c>
      <c r="E106" t="s">
        <v>34</v>
      </c>
      <c r="F106" t="s">
        <v>47</v>
      </c>
      <c r="G106">
        <v>3</v>
      </c>
      <c r="H106">
        <v>435</v>
      </c>
      <c r="I106">
        <v>1305</v>
      </c>
      <c r="J106" t="s">
        <v>36</v>
      </c>
      <c r="K106" t="s">
        <v>70</v>
      </c>
    </row>
    <row r="107" spans="1:11" x14ac:dyDescent="0.25">
      <c r="A107" t="s">
        <v>342</v>
      </c>
      <c r="B107" t="s">
        <v>343</v>
      </c>
      <c r="C107" t="s">
        <v>344</v>
      </c>
      <c r="D107" t="s">
        <v>22</v>
      </c>
      <c r="E107" t="s">
        <v>28</v>
      </c>
      <c r="F107" t="s">
        <v>52</v>
      </c>
      <c r="G107">
        <v>18</v>
      </c>
      <c r="H107">
        <v>229</v>
      </c>
      <c r="I107">
        <v>4122</v>
      </c>
      <c r="J107" t="s">
        <v>36</v>
      </c>
      <c r="K107" t="s">
        <v>18</v>
      </c>
    </row>
    <row r="108" spans="1:11" x14ac:dyDescent="0.25">
      <c r="A108" t="s">
        <v>345</v>
      </c>
      <c r="B108" t="s">
        <v>346</v>
      </c>
      <c r="C108" t="s">
        <v>347</v>
      </c>
      <c r="D108" t="s">
        <v>22</v>
      </c>
      <c r="E108" t="s">
        <v>57</v>
      </c>
      <c r="F108" t="s">
        <v>135</v>
      </c>
      <c r="G108">
        <v>20</v>
      </c>
      <c r="H108">
        <v>1469</v>
      </c>
      <c r="I108">
        <v>29380</v>
      </c>
      <c r="J108" t="s">
        <v>62</v>
      </c>
      <c r="K108" t="s">
        <v>77</v>
      </c>
    </row>
    <row r="109" spans="1:11" x14ac:dyDescent="0.25">
      <c r="A109" t="s">
        <v>348</v>
      </c>
      <c r="B109" t="s">
        <v>349</v>
      </c>
      <c r="C109" t="s">
        <v>350</v>
      </c>
      <c r="D109" t="s">
        <v>14</v>
      </c>
      <c r="E109" t="s">
        <v>57</v>
      </c>
      <c r="F109" t="s">
        <v>139</v>
      </c>
      <c r="G109">
        <v>16</v>
      </c>
      <c r="H109">
        <v>1072</v>
      </c>
      <c r="I109">
        <v>17152</v>
      </c>
      <c r="J109" t="s">
        <v>17</v>
      </c>
      <c r="K109" t="s">
        <v>42</v>
      </c>
    </row>
    <row r="110" spans="1:11" x14ac:dyDescent="0.25">
      <c r="A110" t="s">
        <v>351</v>
      </c>
      <c r="B110" t="s">
        <v>352</v>
      </c>
      <c r="C110" t="s">
        <v>353</v>
      </c>
      <c r="D110" t="s">
        <v>22</v>
      </c>
      <c r="E110" t="s">
        <v>28</v>
      </c>
      <c r="F110" t="s">
        <v>29</v>
      </c>
      <c r="G110">
        <v>4</v>
      </c>
      <c r="H110">
        <v>918</v>
      </c>
      <c r="I110">
        <v>3672</v>
      </c>
      <c r="J110" t="s">
        <v>17</v>
      </c>
      <c r="K110" t="s">
        <v>53</v>
      </c>
    </row>
    <row r="111" spans="1:11" x14ac:dyDescent="0.25">
      <c r="A111" t="s">
        <v>354</v>
      </c>
      <c r="B111" t="s">
        <v>355</v>
      </c>
      <c r="C111" t="s">
        <v>356</v>
      </c>
      <c r="D111" t="s">
        <v>40</v>
      </c>
      <c r="E111" t="s">
        <v>15</v>
      </c>
      <c r="F111" t="s">
        <v>66</v>
      </c>
      <c r="G111">
        <v>12</v>
      </c>
      <c r="H111">
        <v>330</v>
      </c>
      <c r="I111">
        <v>3960</v>
      </c>
      <c r="J111" t="s">
        <v>30</v>
      </c>
      <c r="K111" t="s">
        <v>42</v>
      </c>
    </row>
    <row r="112" spans="1:11" x14ac:dyDescent="0.25">
      <c r="A112" t="s">
        <v>357</v>
      </c>
      <c r="B112" t="s">
        <v>358</v>
      </c>
      <c r="C112" t="s">
        <v>359</v>
      </c>
      <c r="D112" t="s">
        <v>40</v>
      </c>
      <c r="E112" t="s">
        <v>57</v>
      </c>
      <c r="F112" t="s">
        <v>139</v>
      </c>
      <c r="G112">
        <v>1</v>
      </c>
      <c r="H112">
        <v>1430</v>
      </c>
      <c r="I112">
        <v>1430</v>
      </c>
      <c r="J112" t="s">
        <v>17</v>
      </c>
      <c r="K112" t="s">
        <v>48</v>
      </c>
    </row>
    <row r="113" spans="1:11" x14ac:dyDescent="0.25">
      <c r="A113" t="s">
        <v>360</v>
      </c>
      <c r="B113" t="s">
        <v>361</v>
      </c>
      <c r="C113" t="s">
        <v>362</v>
      </c>
      <c r="D113" t="s">
        <v>46</v>
      </c>
      <c r="E113" t="s">
        <v>34</v>
      </c>
      <c r="F113" t="s">
        <v>47</v>
      </c>
      <c r="G113">
        <v>20</v>
      </c>
      <c r="H113">
        <v>228</v>
      </c>
      <c r="I113">
        <v>4560</v>
      </c>
      <c r="J113" t="s">
        <v>30</v>
      </c>
      <c r="K113" t="s">
        <v>18</v>
      </c>
    </row>
    <row r="114" spans="1:11" x14ac:dyDescent="0.25">
      <c r="A114" t="s">
        <v>363</v>
      </c>
      <c r="B114" t="s">
        <v>364</v>
      </c>
      <c r="C114" t="s">
        <v>365</v>
      </c>
      <c r="D114" t="s">
        <v>46</v>
      </c>
      <c r="E114" t="s">
        <v>34</v>
      </c>
      <c r="F114" t="s">
        <v>84</v>
      </c>
      <c r="G114">
        <v>12</v>
      </c>
      <c r="H114">
        <v>998</v>
      </c>
      <c r="I114">
        <v>11976</v>
      </c>
      <c r="J114" t="s">
        <v>30</v>
      </c>
      <c r="K114" t="s">
        <v>42</v>
      </c>
    </row>
    <row r="115" spans="1:11" x14ac:dyDescent="0.25">
      <c r="A115" t="s">
        <v>366</v>
      </c>
      <c r="B115" t="s">
        <v>367</v>
      </c>
      <c r="C115" t="s">
        <v>368</v>
      </c>
      <c r="D115" t="s">
        <v>14</v>
      </c>
      <c r="E115" t="s">
        <v>28</v>
      </c>
      <c r="F115" t="s">
        <v>29</v>
      </c>
      <c r="G115">
        <v>1</v>
      </c>
      <c r="H115">
        <v>1340</v>
      </c>
      <c r="I115">
        <v>1340</v>
      </c>
      <c r="J115" t="s">
        <v>62</v>
      </c>
      <c r="K115" t="s">
        <v>53</v>
      </c>
    </row>
    <row r="116" spans="1:11" x14ac:dyDescent="0.25">
      <c r="A116" t="s">
        <v>369</v>
      </c>
      <c r="B116" t="s">
        <v>370</v>
      </c>
      <c r="C116" t="s">
        <v>371</v>
      </c>
      <c r="D116" t="s">
        <v>22</v>
      </c>
      <c r="E116" t="s">
        <v>57</v>
      </c>
      <c r="F116" t="s">
        <v>58</v>
      </c>
      <c r="G116">
        <v>1</v>
      </c>
      <c r="H116">
        <v>398</v>
      </c>
      <c r="I116">
        <v>398</v>
      </c>
      <c r="J116" t="s">
        <v>36</v>
      </c>
      <c r="K116" t="s">
        <v>53</v>
      </c>
    </row>
    <row r="117" spans="1:11" x14ac:dyDescent="0.25">
      <c r="A117" t="s">
        <v>372</v>
      </c>
      <c r="B117" t="s">
        <v>373</v>
      </c>
      <c r="C117" t="s">
        <v>374</v>
      </c>
      <c r="D117" t="s">
        <v>46</v>
      </c>
      <c r="E117" t="s">
        <v>28</v>
      </c>
      <c r="F117" t="s">
        <v>52</v>
      </c>
      <c r="G117">
        <v>12</v>
      </c>
      <c r="H117">
        <v>654</v>
      </c>
      <c r="I117">
        <v>7848</v>
      </c>
      <c r="J117" t="s">
        <v>17</v>
      </c>
      <c r="K117" t="s">
        <v>70</v>
      </c>
    </row>
    <row r="118" spans="1:11" x14ac:dyDescent="0.25">
      <c r="A118" t="s">
        <v>375</v>
      </c>
      <c r="B118" t="s">
        <v>376</v>
      </c>
      <c r="C118" t="s">
        <v>377</v>
      </c>
      <c r="D118" t="s">
        <v>40</v>
      </c>
      <c r="E118" t="s">
        <v>15</v>
      </c>
      <c r="F118" t="s">
        <v>16</v>
      </c>
      <c r="G118">
        <v>16</v>
      </c>
      <c r="H118">
        <v>801</v>
      </c>
      <c r="I118">
        <v>12816</v>
      </c>
      <c r="J118" t="s">
        <v>36</v>
      </c>
      <c r="K118" t="s">
        <v>48</v>
      </c>
    </row>
    <row r="119" spans="1:11" x14ac:dyDescent="0.25">
      <c r="A119" t="s">
        <v>378</v>
      </c>
      <c r="B119" t="s">
        <v>379</v>
      </c>
      <c r="C119" t="s">
        <v>380</v>
      </c>
      <c r="D119" t="s">
        <v>22</v>
      </c>
      <c r="E119" t="s">
        <v>57</v>
      </c>
      <c r="F119" t="s">
        <v>139</v>
      </c>
      <c r="G119">
        <v>20</v>
      </c>
      <c r="H119">
        <v>286</v>
      </c>
      <c r="I119">
        <v>5720</v>
      </c>
      <c r="J119" t="s">
        <v>30</v>
      </c>
      <c r="K119" t="s">
        <v>48</v>
      </c>
    </row>
    <row r="120" spans="1:11" x14ac:dyDescent="0.25">
      <c r="A120" t="s">
        <v>381</v>
      </c>
      <c r="B120" t="s">
        <v>382</v>
      </c>
      <c r="C120" t="s">
        <v>383</v>
      </c>
      <c r="D120" t="s">
        <v>22</v>
      </c>
      <c r="E120" t="s">
        <v>28</v>
      </c>
      <c r="F120" t="s">
        <v>119</v>
      </c>
      <c r="G120">
        <v>2</v>
      </c>
      <c r="H120">
        <v>1529</v>
      </c>
      <c r="I120">
        <v>3058</v>
      </c>
      <c r="J120" t="s">
        <v>17</v>
      </c>
      <c r="K120" t="s">
        <v>42</v>
      </c>
    </row>
    <row r="121" spans="1:11" x14ac:dyDescent="0.25">
      <c r="A121" t="s">
        <v>384</v>
      </c>
      <c r="B121" t="s">
        <v>385</v>
      </c>
      <c r="C121" t="s">
        <v>386</v>
      </c>
      <c r="D121" t="s">
        <v>14</v>
      </c>
      <c r="E121" t="s">
        <v>15</v>
      </c>
      <c r="F121" t="s">
        <v>154</v>
      </c>
      <c r="G121">
        <v>19</v>
      </c>
      <c r="H121">
        <v>528</v>
      </c>
      <c r="I121">
        <v>10032</v>
      </c>
      <c r="J121" t="s">
        <v>30</v>
      </c>
      <c r="K121" t="s">
        <v>42</v>
      </c>
    </row>
    <row r="122" spans="1:11" x14ac:dyDescent="0.25">
      <c r="A122" t="s">
        <v>387</v>
      </c>
      <c r="B122" t="s">
        <v>388</v>
      </c>
      <c r="C122" t="s">
        <v>389</v>
      </c>
      <c r="D122" t="s">
        <v>46</v>
      </c>
      <c r="E122" t="s">
        <v>15</v>
      </c>
      <c r="F122" t="s">
        <v>16</v>
      </c>
      <c r="G122">
        <v>14</v>
      </c>
      <c r="H122">
        <v>1736</v>
      </c>
      <c r="I122">
        <v>24304</v>
      </c>
      <c r="J122" t="s">
        <v>17</v>
      </c>
      <c r="K122" t="s">
        <v>42</v>
      </c>
    </row>
    <row r="123" spans="1:11" x14ac:dyDescent="0.25">
      <c r="A123" t="s">
        <v>390</v>
      </c>
      <c r="B123" t="s">
        <v>391</v>
      </c>
      <c r="C123" t="s">
        <v>392</v>
      </c>
      <c r="D123" t="s">
        <v>46</v>
      </c>
      <c r="E123" t="s">
        <v>28</v>
      </c>
      <c r="F123" t="s">
        <v>52</v>
      </c>
      <c r="G123">
        <v>12</v>
      </c>
      <c r="H123">
        <v>1855</v>
      </c>
      <c r="I123">
        <v>22260</v>
      </c>
      <c r="J123" t="s">
        <v>30</v>
      </c>
      <c r="K123" t="s">
        <v>24</v>
      </c>
    </row>
    <row r="124" spans="1:11" x14ac:dyDescent="0.25">
      <c r="A124" t="s">
        <v>393</v>
      </c>
      <c r="B124" t="s">
        <v>394</v>
      </c>
      <c r="C124" t="s">
        <v>395</v>
      </c>
      <c r="D124" t="s">
        <v>22</v>
      </c>
      <c r="E124" t="s">
        <v>34</v>
      </c>
      <c r="F124" t="s">
        <v>35</v>
      </c>
      <c r="G124">
        <v>17</v>
      </c>
      <c r="H124">
        <v>1856</v>
      </c>
      <c r="I124">
        <v>31552</v>
      </c>
      <c r="J124" t="s">
        <v>36</v>
      </c>
      <c r="K124" t="s">
        <v>24</v>
      </c>
    </row>
    <row r="125" spans="1:11" x14ac:dyDescent="0.25">
      <c r="A125" t="s">
        <v>396</v>
      </c>
      <c r="B125" t="s">
        <v>397</v>
      </c>
      <c r="C125" t="s">
        <v>398</v>
      </c>
      <c r="D125" t="s">
        <v>22</v>
      </c>
      <c r="E125" t="s">
        <v>15</v>
      </c>
      <c r="F125" t="s">
        <v>23</v>
      </c>
      <c r="G125">
        <v>18</v>
      </c>
      <c r="H125">
        <v>978</v>
      </c>
      <c r="I125">
        <v>17604</v>
      </c>
      <c r="J125" t="s">
        <v>62</v>
      </c>
      <c r="K125" t="s">
        <v>53</v>
      </c>
    </row>
    <row r="126" spans="1:11" x14ac:dyDescent="0.25">
      <c r="A126" t="s">
        <v>399</v>
      </c>
      <c r="B126" t="s">
        <v>400</v>
      </c>
      <c r="C126" t="s">
        <v>401</v>
      </c>
      <c r="D126" t="s">
        <v>46</v>
      </c>
      <c r="E126" t="s">
        <v>57</v>
      </c>
      <c r="F126" t="s">
        <v>58</v>
      </c>
      <c r="G126">
        <v>16</v>
      </c>
      <c r="H126">
        <v>1415</v>
      </c>
      <c r="I126">
        <v>22640</v>
      </c>
      <c r="J126" t="s">
        <v>62</v>
      </c>
      <c r="K126" t="s">
        <v>77</v>
      </c>
    </row>
    <row r="127" spans="1:11" x14ac:dyDescent="0.25">
      <c r="A127" t="s">
        <v>402</v>
      </c>
      <c r="B127" t="s">
        <v>165</v>
      </c>
      <c r="C127" t="s">
        <v>403</v>
      </c>
      <c r="D127" t="s">
        <v>46</v>
      </c>
      <c r="E127" t="s">
        <v>57</v>
      </c>
      <c r="F127" t="s">
        <v>106</v>
      </c>
      <c r="G127">
        <v>20</v>
      </c>
      <c r="H127">
        <v>1109</v>
      </c>
      <c r="I127">
        <v>22180</v>
      </c>
      <c r="J127" t="s">
        <v>17</v>
      </c>
      <c r="K127" t="s">
        <v>18</v>
      </c>
    </row>
    <row r="128" spans="1:11" x14ac:dyDescent="0.25">
      <c r="A128" t="s">
        <v>404</v>
      </c>
      <c r="B128" t="s">
        <v>405</v>
      </c>
      <c r="C128" t="s">
        <v>406</v>
      </c>
      <c r="D128" t="s">
        <v>40</v>
      </c>
      <c r="E128" t="s">
        <v>15</v>
      </c>
      <c r="F128" t="s">
        <v>23</v>
      </c>
      <c r="G128">
        <v>10</v>
      </c>
      <c r="H128">
        <v>375</v>
      </c>
      <c r="I128">
        <v>3750</v>
      </c>
      <c r="J128" t="s">
        <v>17</v>
      </c>
      <c r="K128" t="s">
        <v>53</v>
      </c>
    </row>
    <row r="129" spans="1:11" x14ac:dyDescent="0.25">
      <c r="A129" t="s">
        <v>407</v>
      </c>
      <c r="B129" t="s">
        <v>408</v>
      </c>
      <c r="C129" t="s">
        <v>409</v>
      </c>
      <c r="D129" t="s">
        <v>40</v>
      </c>
      <c r="E129" t="s">
        <v>57</v>
      </c>
      <c r="F129" t="s">
        <v>135</v>
      </c>
      <c r="G129">
        <v>6</v>
      </c>
      <c r="H129">
        <v>1596</v>
      </c>
      <c r="I129">
        <v>9576</v>
      </c>
      <c r="J129" t="s">
        <v>62</v>
      </c>
      <c r="K129" t="s">
        <v>77</v>
      </c>
    </row>
    <row r="130" spans="1:11" x14ac:dyDescent="0.25">
      <c r="A130" t="s">
        <v>410</v>
      </c>
      <c r="B130" t="s">
        <v>411</v>
      </c>
      <c r="C130" t="s">
        <v>412</v>
      </c>
      <c r="D130" t="s">
        <v>46</v>
      </c>
      <c r="E130" t="s">
        <v>34</v>
      </c>
      <c r="F130" t="s">
        <v>47</v>
      </c>
      <c r="G130">
        <v>11</v>
      </c>
      <c r="H130">
        <v>1531</v>
      </c>
      <c r="I130">
        <v>16841</v>
      </c>
      <c r="J130" t="s">
        <v>17</v>
      </c>
      <c r="K130" t="s">
        <v>53</v>
      </c>
    </row>
    <row r="131" spans="1:11" x14ac:dyDescent="0.25">
      <c r="A131" t="s">
        <v>413</v>
      </c>
      <c r="B131" t="s">
        <v>414</v>
      </c>
      <c r="C131" t="s">
        <v>415</v>
      </c>
      <c r="D131" t="s">
        <v>40</v>
      </c>
      <c r="E131" t="s">
        <v>15</v>
      </c>
      <c r="F131" t="s">
        <v>154</v>
      </c>
      <c r="G131">
        <v>3</v>
      </c>
      <c r="H131">
        <v>774</v>
      </c>
      <c r="I131">
        <v>2322</v>
      </c>
      <c r="J131" t="s">
        <v>30</v>
      </c>
      <c r="K131" t="s">
        <v>24</v>
      </c>
    </row>
    <row r="132" spans="1:11" x14ac:dyDescent="0.25">
      <c r="A132" t="s">
        <v>416</v>
      </c>
      <c r="B132" t="s">
        <v>417</v>
      </c>
      <c r="C132" t="s">
        <v>418</v>
      </c>
      <c r="D132" t="s">
        <v>14</v>
      </c>
      <c r="E132" t="s">
        <v>28</v>
      </c>
      <c r="F132" t="s">
        <v>29</v>
      </c>
      <c r="G132">
        <v>5</v>
      </c>
      <c r="H132">
        <v>1761</v>
      </c>
      <c r="I132">
        <v>8805</v>
      </c>
      <c r="J132" t="s">
        <v>17</v>
      </c>
      <c r="K132" t="s">
        <v>42</v>
      </c>
    </row>
    <row r="133" spans="1:11" x14ac:dyDescent="0.25">
      <c r="A133" t="s">
        <v>419</v>
      </c>
      <c r="B133" t="s">
        <v>420</v>
      </c>
      <c r="C133" t="s">
        <v>421</v>
      </c>
      <c r="D133" t="s">
        <v>46</v>
      </c>
      <c r="E133" t="s">
        <v>15</v>
      </c>
      <c r="F133" t="s">
        <v>16</v>
      </c>
      <c r="G133">
        <v>9</v>
      </c>
      <c r="H133">
        <v>661</v>
      </c>
      <c r="I133">
        <v>5949</v>
      </c>
      <c r="J133" t="s">
        <v>62</v>
      </c>
      <c r="K133" t="s">
        <v>24</v>
      </c>
    </row>
    <row r="134" spans="1:11" x14ac:dyDescent="0.25">
      <c r="A134" t="s">
        <v>422</v>
      </c>
      <c r="B134" t="s">
        <v>423</v>
      </c>
      <c r="C134" t="s">
        <v>424</v>
      </c>
      <c r="D134" t="s">
        <v>40</v>
      </c>
      <c r="E134" t="s">
        <v>34</v>
      </c>
      <c r="F134" t="s">
        <v>47</v>
      </c>
      <c r="G134">
        <v>10</v>
      </c>
      <c r="H134">
        <v>1266</v>
      </c>
      <c r="I134">
        <v>12660</v>
      </c>
      <c r="J134" t="s">
        <v>30</v>
      </c>
      <c r="K134" t="s">
        <v>42</v>
      </c>
    </row>
    <row r="135" spans="1:11" x14ac:dyDescent="0.25">
      <c r="A135" t="s">
        <v>425</v>
      </c>
      <c r="B135" t="s">
        <v>376</v>
      </c>
      <c r="C135" t="s">
        <v>426</v>
      </c>
      <c r="D135" t="s">
        <v>22</v>
      </c>
      <c r="E135" t="s">
        <v>15</v>
      </c>
      <c r="F135" t="s">
        <v>23</v>
      </c>
      <c r="G135">
        <v>4</v>
      </c>
      <c r="H135">
        <v>1917</v>
      </c>
      <c r="I135">
        <v>7668</v>
      </c>
      <c r="J135" t="s">
        <v>36</v>
      </c>
      <c r="K135" t="s">
        <v>42</v>
      </c>
    </row>
    <row r="136" spans="1:11" x14ac:dyDescent="0.25">
      <c r="A136" t="s">
        <v>427</v>
      </c>
      <c r="B136" t="s">
        <v>428</v>
      </c>
      <c r="C136" t="s">
        <v>429</v>
      </c>
      <c r="D136" t="s">
        <v>40</v>
      </c>
      <c r="E136" t="s">
        <v>34</v>
      </c>
      <c r="F136" t="s">
        <v>47</v>
      </c>
      <c r="G136">
        <v>18</v>
      </c>
      <c r="H136">
        <v>602</v>
      </c>
      <c r="I136">
        <v>10836</v>
      </c>
      <c r="J136" t="s">
        <v>17</v>
      </c>
      <c r="K136" t="s">
        <v>48</v>
      </c>
    </row>
    <row r="137" spans="1:11" x14ac:dyDescent="0.25">
      <c r="A137" t="s">
        <v>430</v>
      </c>
      <c r="B137" t="s">
        <v>285</v>
      </c>
      <c r="C137" t="s">
        <v>431</v>
      </c>
      <c r="D137" t="s">
        <v>22</v>
      </c>
      <c r="E137" t="s">
        <v>34</v>
      </c>
      <c r="F137" t="s">
        <v>47</v>
      </c>
      <c r="G137">
        <v>4</v>
      </c>
      <c r="H137">
        <v>1213</v>
      </c>
      <c r="I137">
        <v>4852</v>
      </c>
      <c r="J137" t="s">
        <v>62</v>
      </c>
      <c r="K137" t="s">
        <v>24</v>
      </c>
    </row>
    <row r="138" spans="1:11" x14ac:dyDescent="0.25">
      <c r="A138" t="s">
        <v>432</v>
      </c>
      <c r="B138" t="s">
        <v>433</v>
      </c>
      <c r="C138" t="s">
        <v>434</v>
      </c>
      <c r="D138" t="s">
        <v>40</v>
      </c>
      <c r="E138" t="s">
        <v>34</v>
      </c>
      <c r="F138" t="s">
        <v>47</v>
      </c>
      <c r="G138">
        <v>8</v>
      </c>
      <c r="H138">
        <v>1606</v>
      </c>
      <c r="I138">
        <v>12848</v>
      </c>
      <c r="J138" t="s">
        <v>62</v>
      </c>
      <c r="K138" t="s">
        <v>42</v>
      </c>
    </row>
    <row r="139" spans="1:11" x14ac:dyDescent="0.25">
      <c r="A139" t="s">
        <v>435</v>
      </c>
      <c r="B139" t="s">
        <v>436</v>
      </c>
      <c r="C139" t="s">
        <v>437</v>
      </c>
      <c r="D139" t="s">
        <v>40</v>
      </c>
      <c r="E139" t="s">
        <v>28</v>
      </c>
      <c r="F139" t="s">
        <v>29</v>
      </c>
      <c r="G139">
        <v>9</v>
      </c>
      <c r="H139">
        <v>101</v>
      </c>
      <c r="I139">
        <v>909</v>
      </c>
      <c r="J139" t="s">
        <v>17</v>
      </c>
      <c r="K139" t="s">
        <v>77</v>
      </c>
    </row>
    <row r="140" spans="1:11" x14ac:dyDescent="0.25">
      <c r="A140" t="s">
        <v>438</v>
      </c>
      <c r="B140" t="s">
        <v>439</v>
      </c>
      <c r="C140" t="s">
        <v>440</v>
      </c>
      <c r="D140" t="s">
        <v>40</v>
      </c>
      <c r="E140" t="s">
        <v>28</v>
      </c>
      <c r="F140" t="s">
        <v>41</v>
      </c>
      <c r="G140">
        <v>15</v>
      </c>
      <c r="H140">
        <v>1381</v>
      </c>
      <c r="I140">
        <v>20715</v>
      </c>
      <c r="J140" t="s">
        <v>17</v>
      </c>
      <c r="K140" t="s">
        <v>53</v>
      </c>
    </row>
    <row r="141" spans="1:11" x14ac:dyDescent="0.25">
      <c r="A141" t="s">
        <v>441</v>
      </c>
      <c r="B141" t="s">
        <v>189</v>
      </c>
      <c r="C141" t="s">
        <v>442</v>
      </c>
      <c r="D141" t="s">
        <v>14</v>
      </c>
      <c r="E141" t="s">
        <v>15</v>
      </c>
      <c r="F141" t="s">
        <v>66</v>
      </c>
      <c r="G141">
        <v>10</v>
      </c>
      <c r="H141">
        <v>1645</v>
      </c>
      <c r="I141">
        <v>16450</v>
      </c>
      <c r="J141" t="s">
        <v>17</v>
      </c>
      <c r="K141" t="s">
        <v>24</v>
      </c>
    </row>
    <row r="142" spans="1:11" x14ac:dyDescent="0.25">
      <c r="A142" t="s">
        <v>443</v>
      </c>
      <c r="B142" t="s">
        <v>391</v>
      </c>
      <c r="C142" t="s">
        <v>444</v>
      </c>
      <c r="D142" t="s">
        <v>40</v>
      </c>
      <c r="E142" t="s">
        <v>15</v>
      </c>
      <c r="F142" t="s">
        <v>154</v>
      </c>
      <c r="G142">
        <v>15</v>
      </c>
      <c r="H142">
        <v>1076</v>
      </c>
      <c r="I142">
        <v>16140</v>
      </c>
      <c r="J142" t="s">
        <v>36</v>
      </c>
      <c r="K142" t="s">
        <v>18</v>
      </c>
    </row>
    <row r="143" spans="1:11" x14ac:dyDescent="0.25">
      <c r="A143" t="s">
        <v>445</v>
      </c>
      <c r="B143" t="s">
        <v>114</v>
      </c>
      <c r="C143" t="s">
        <v>446</v>
      </c>
      <c r="D143" t="s">
        <v>14</v>
      </c>
      <c r="E143" t="s">
        <v>57</v>
      </c>
      <c r="F143" t="s">
        <v>106</v>
      </c>
      <c r="G143">
        <v>6</v>
      </c>
      <c r="H143">
        <v>490</v>
      </c>
      <c r="I143">
        <v>2940</v>
      </c>
      <c r="J143" t="s">
        <v>17</v>
      </c>
      <c r="K143" t="s">
        <v>24</v>
      </c>
    </row>
    <row r="144" spans="1:11" x14ac:dyDescent="0.25">
      <c r="A144" t="s">
        <v>447</v>
      </c>
      <c r="B144" t="s">
        <v>448</v>
      </c>
      <c r="C144" t="s">
        <v>449</v>
      </c>
      <c r="D144" t="s">
        <v>40</v>
      </c>
      <c r="E144" t="s">
        <v>28</v>
      </c>
      <c r="F144" t="s">
        <v>119</v>
      </c>
      <c r="G144">
        <v>10</v>
      </c>
      <c r="H144">
        <v>313</v>
      </c>
      <c r="I144">
        <v>3130</v>
      </c>
      <c r="J144" t="s">
        <v>30</v>
      </c>
      <c r="K144" t="s">
        <v>18</v>
      </c>
    </row>
    <row r="145" spans="1:11" x14ac:dyDescent="0.25">
      <c r="A145" t="s">
        <v>450</v>
      </c>
      <c r="B145" t="s">
        <v>451</v>
      </c>
      <c r="C145" t="s">
        <v>452</v>
      </c>
      <c r="D145" t="s">
        <v>22</v>
      </c>
      <c r="E145" t="s">
        <v>57</v>
      </c>
      <c r="F145" t="s">
        <v>106</v>
      </c>
      <c r="G145">
        <v>10</v>
      </c>
      <c r="H145">
        <v>593</v>
      </c>
      <c r="I145">
        <v>5930</v>
      </c>
      <c r="J145" t="s">
        <v>36</v>
      </c>
      <c r="K145" t="s">
        <v>42</v>
      </c>
    </row>
    <row r="146" spans="1:11" x14ac:dyDescent="0.25">
      <c r="A146" t="s">
        <v>453</v>
      </c>
      <c r="B146" t="s">
        <v>454</v>
      </c>
      <c r="C146" t="s">
        <v>455</v>
      </c>
      <c r="D146" t="s">
        <v>22</v>
      </c>
      <c r="E146" t="s">
        <v>34</v>
      </c>
      <c r="F146" t="s">
        <v>84</v>
      </c>
      <c r="G146">
        <v>14</v>
      </c>
      <c r="H146">
        <v>1892</v>
      </c>
      <c r="I146">
        <v>26488</v>
      </c>
      <c r="J146" t="s">
        <v>17</v>
      </c>
      <c r="K146" t="s">
        <v>24</v>
      </c>
    </row>
    <row r="147" spans="1:11" x14ac:dyDescent="0.25">
      <c r="A147" t="s">
        <v>456</v>
      </c>
      <c r="B147" t="s">
        <v>457</v>
      </c>
      <c r="C147" t="s">
        <v>458</v>
      </c>
      <c r="D147" t="s">
        <v>46</v>
      </c>
      <c r="E147" t="s">
        <v>57</v>
      </c>
      <c r="F147" t="s">
        <v>139</v>
      </c>
      <c r="G147">
        <v>12</v>
      </c>
      <c r="H147">
        <v>518</v>
      </c>
      <c r="I147">
        <v>6216</v>
      </c>
      <c r="J147" t="s">
        <v>30</v>
      </c>
      <c r="K147" t="s">
        <v>70</v>
      </c>
    </row>
    <row r="148" spans="1:11" x14ac:dyDescent="0.25">
      <c r="A148" t="s">
        <v>459</v>
      </c>
      <c r="B148" t="s">
        <v>460</v>
      </c>
      <c r="C148" t="s">
        <v>461</v>
      </c>
      <c r="D148" t="s">
        <v>40</v>
      </c>
      <c r="E148" t="s">
        <v>15</v>
      </c>
      <c r="F148" t="s">
        <v>16</v>
      </c>
      <c r="G148">
        <v>7</v>
      </c>
      <c r="H148">
        <v>1780</v>
      </c>
      <c r="I148">
        <v>12460</v>
      </c>
      <c r="J148" t="s">
        <v>62</v>
      </c>
      <c r="K148" t="s">
        <v>18</v>
      </c>
    </row>
    <row r="149" spans="1:11" x14ac:dyDescent="0.25">
      <c r="A149" t="s">
        <v>462</v>
      </c>
      <c r="B149" t="s">
        <v>463</v>
      </c>
      <c r="C149" t="s">
        <v>464</v>
      </c>
      <c r="D149" t="s">
        <v>22</v>
      </c>
      <c r="E149" t="s">
        <v>15</v>
      </c>
      <c r="F149" t="s">
        <v>23</v>
      </c>
      <c r="G149">
        <v>2</v>
      </c>
      <c r="H149">
        <v>191</v>
      </c>
      <c r="I149">
        <v>382</v>
      </c>
      <c r="J149" t="s">
        <v>36</v>
      </c>
      <c r="K149" t="s">
        <v>77</v>
      </c>
    </row>
    <row r="150" spans="1:11" x14ac:dyDescent="0.25">
      <c r="A150" t="s">
        <v>465</v>
      </c>
      <c r="B150" t="s">
        <v>261</v>
      </c>
      <c r="C150" t="s">
        <v>466</v>
      </c>
      <c r="D150" t="s">
        <v>22</v>
      </c>
      <c r="E150" t="s">
        <v>28</v>
      </c>
      <c r="F150" t="s">
        <v>119</v>
      </c>
      <c r="G150">
        <v>10</v>
      </c>
      <c r="H150">
        <v>170</v>
      </c>
      <c r="I150">
        <v>1700</v>
      </c>
      <c r="J150" t="s">
        <v>36</v>
      </c>
      <c r="K150" t="s">
        <v>70</v>
      </c>
    </row>
    <row r="151" spans="1:11" x14ac:dyDescent="0.25">
      <c r="A151" t="s">
        <v>467</v>
      </c>
      <c r="B151" t="s">
        <v>247</v>
      </c>
      <c r="C151" t="s">
        <v>468</v>
      </c>
      <c r="D151" t="s">
        <v>14</v>
      </c>
      <c r="E151" t="s">
        <v>28</v>
      </c>
      <c r="F151" t="s">
        <v>41</v>
      </c>
      <c r="G151">
        <v>19</v>
      </c>
      <c r="H151">
        <v>1140</v>
      </c>
      <c r="I151">
        <v>21660</v>
      </c>
      <c r="J151" t="s">
        <v>36</v>
      </c>
      <c r="K151" t="s">
        <v>53</v>
      </c>
    </row>
    <row r="152" spans="1:11" x14ac:dyDescent="0.25">
      <c r="A152" t="s">
        <v>469</v>
      </c>
      <c r="B152" t="s">
        <v>127</v>
      </c>
      <c r="C152" t="s">
        <v>470</v>
      </c>
      <c r="D152" t="s">
        <v>40</v>
      </c>
      <c r="E152" t="s">
        <v>34</v>
      </c>
      <c r="F152" t="s">
        <v>47</v>
      </c>
      <c r="G152">
        <v>14</v>
      </c>
      <c r="H152">
        <v>495</v>
      </c>
      <c r="I152">
        <v>6930</v>
      </c>
      <c r="J152" t="s">
        <v>62</v>
      </c>
      <c r="K152" t="s">
        <v>24</v>
      </c>
    </row>
    <row r="153" spans="1:11" x14ac:dyDescent="0.25">
      <c r="A153" t="s">
        <v>471</v>
      </c>
      <c r="B153" t="s">
        <v>472</v>
      </c>
      <c r="C153" t="s">
        <v>473</v>
      </c>
      <c r="D153" t="s">
        <v>40</v>
      </c>
      <c r="E153" t="s">
        <v>15</v>
      </c>
      <c r="F153" t="s">
        <v>66</v>
      </c>
      <c r="G153">
        <v>12</v>
      </c>
      <c r="H153">
        <v>147</v>
      </c>
      <c r="I153">
        <v>1764</v>
      </c>
      <c r="J153" t="s">
        <v>36</v>
      </c>
      <c r="K153" t="s">
        <v>18</v>
      </c>
    </row>
    <row r="154" spans="1:11" x14ac:dyDescent="0.25">
      <c r="A154" t="s">
        <v>474</v>
      </c>
      <c r="B154" t="s">
        <v>475</v>
      </c>
      <c r="C154" t="s">
        <v>476</v>
      </c>
      <c r="D154" t="s">
        <v>22</v>
      </c>
      <c r="E154" t="s">
        <v>34</v>
      </c>
      <c r="F154" t="s">
        <v>84</v>
      </c>
      <c r="G154">
        <v>20</v>
      </c>
      <c r="H154">
        <v>1695</v>
      </c>
      <c r="I154">
        <v>33900</v>
      </c>
      <c r="J154" t="s">
        <v>17</v>
      </c>
      <c r="K154" t="s">
        <v>18</v>
      </c>
    </row>
    <row r="155" spans="1:11" x14ac:dyDescent="0.25">
      <c r="A155" t="s">
        <v>477</v>
      </c>
      <c r="B155" t="s">
        <v>217</v>
      </c>
      <c r="C155" t="s">
        <v>478</v>
      </c>
      <c r="D155" t="s">
        <v>14</v>
      </c>
      <c r="E155" t="s">
        <v>15</v>
      </c>
      <c r="F155" t="s">
        <v>154</v>
      </c>
      <c r="G155">
        <v>8</v>
      </c>
      <c r="H155">
        <v>1349</v>
      </c>
      <c r="I155">
        <v>10792</v>
      </c>
      <c r="J155" t="s">
        <v>62</v>
      </c>
      <c r="K155" t="s">
        <v>53</v>
      </c>
    </row>
    <row r="156" spans="1:11" x14ac:dyDescent="0.25">
      <c r="A156" t="s">
        <v>479</v>
      </c>
      <c r="B156" t="s">
        <v>480</v>
      </c>
      <c r="C156" t="s">
        <v>481</v>
      </c>
      <c r="D156" t="s">
        <v>46</v>
      </c>
      <c r="E156" t="s">
        <v>57</v>
      </c>
      <c r="F156" t="s">
        <v>139</v>
      </c>
      <c r="G156">
        <v>13</v>
      </c>
      <c r="H156">
        <v>1977</v>
      </c>
      <c r="I156">
        <v>25701</v>
      </c>
      <c r="J156" t="s">
        <v>36</v>
      </c>
      <c r="K156" t="s">
        <v>18</v>
      </c>
    </row>
    <row r="157" spans="1:11" x14ac:dyDescent="0.25">
      <c r="A157" t="s">
        <v>482</v>
      </c>
      <c r="B157" t="s">
        <v>217</v>
      </c>
      <c r="C157" t="s">
        <v>483</v>
      </c>
      <c r="D157" t="s">
        <v>40</v>
      </c>
      <c r="E157" t="s">
        <v>15</v>
      </c>
      <c r="F157" t="s">
        <v>66</v>
      </c>
      <c r="G157">
        <v>10</v>
      </c>
      <c r="H157">
        <v>879</v>
      </c>
      <c r="I157">
        <v>8790</v>
      </c>
      <c r="J157" t="s">
        <v>30</v>
      </c>
      <c r="K157" t="s">
        <v>70</v>
      </c>
    </row>
    <row r="158" spans="1:11" x14ac:dyDescent="0.25">
      <c r="A158" t="s">
        <v>484</v>
      </c>
      <c r="B158" t="s">
        <v>448</v>
      </c>
      <c r="C158" t="s">
        <v>485</v>
      </c>
      <c r="D158" t="s">
        <v>14</v>
      </c>
      <c r="E158" t="s">
        <v>34</v>
      </c>
      <c r="F158" t="s">
        <v>84</v>
      </c>
      <c r="G158">
        <v>14</v>
      </c>
      <c r="H158">
        <v>1690</v>
      </c>
      <c r="I158">
        <v>23660</v>
      </c>
      <c r="J158" t="s">
        <v>17</v>
      </c>
      <c r="K158" t="s">
        <v>77</v>
      </c>
    </row>
    <row r="159" spans="1:11" x14ac:dyDescent="0.25">
      <c r="A159" t="s">
        <v>486</v>
      </c>
      <c r="B159" t="s">
        <v>436</v>
      </c>
      <c r="C159" t="s">
        <v>487</v>
      </c>
      <c r="D159" t="s">
        <v>14</v>
      </c>
      <c r="E159" t="s">
        <v>28</v>
      </c>
      <c r="F159" t="s">
        <v>52</v>
      </c>
      <c r="G159">
        <v>13</v>
      </c>
      <c r="H159">
        <v>374</v>
      </c>
      <c r="I159">
        <v>4862</v>
      </c>
      <c r="J159" t="s">
        <v>17</v>
      </c>
      <c r="K159" t="s">
        <v>53</v>
      </c>
    </row>
    <row r="160" spans="1:11" x14ac:dyDescent="0.25">
      <c r="A160" t="s">
        <v>488</v>
      </c>
      <c r="B160" t="s">
        <v>489</v>
      </c>
      <c r="C160" t="s">
        <v>490</v>
      </c>
      <c r="D160" t="s">
        <v>46</v>
      </c>
      <c r="E160" t="s">
        <v>57</v>
      </c>
      <c r="F160" t="s">
        <v>139</v>
      </c>
      <c r="G160">
        <v>2</v>
      </c>
      <c r="H160">
        <v>132</v>
      </c>
      <c r="I160">
        <v>264</v>
      </c>
      <c r="J160" t="s">
        <v>36</v>
      </c>
      <c r="K160" t="s">
        <v>24</v>
      </c>
    </row>
    <row r="161" spans="1:11" x14ac:dyDescent="0.25">
      <c r="A161" t="s">
        <v>491</v>
      </c>
      <c r="B161" t="s">
        <v>492</v>
      </c>
      <c r="C161" t="s">
        <v>493</v>
      </c>
      <c r="D161" t="s">
        <v>14</v>
      </c>
      <c r="E161" t="s">
        <v>57</v>
      </c>
      <c r="F161" t="s">
        <v>139</v>
      </c>
      <c r="G161">
        <v>2</v>
      </c>
      <c r="H161">
        <v>1310</v>
      </c>
      <c r="I161">
        <v>2620</v>
      </c>
      <c r="J161" t="s">
        <v>36</v>
      </c>
      <c r="K161" t="s">
        <v>70</v>
      </c>
    </row>
    <row r="162" spans="1:11" x14ac:dyDescent="0.25">
      <c r="A162" t="s">
        <v>494</v>
      </c>
      <c r="B162" t="s">
        <v>340</v>
      </c>
      <c r="C162" t="s">
        <v>495</v>
      </c>
      <c r="D162" t="s">
        <v>14</v>
      </c>
      <c r="E162" t="s">
        <v>28</v>
      </c>
      <c r="F162" t="s">
        <v>52</v>
      </c>
      <c r="G162">
        <v>5</v>
      </c>
      <c r="H162">
        <v>1991</v>
      </c>
      <c r="I162">
        <v>9955</v>
      </c>
      <c r="J162" t="s">
        <v>17</v>
      </c>
      <c r="K162" t="s">
        <v>53</v>
      </c>
    </row>
    <row r="163" spans="1:11" x14ac:dyDescent="0.25">
      <c r="A163" t="s">
        <v>496</v>
      </c>
      <c r="B163" t="s">
        <v>497</v>
      </c>
      <c r="C163" t="s">
        <v>498</v>
      </c>
      <c r="D163" t="s">
        <v>22</v>
      </c>
      <c r="E163" t="s">
        <v>15</v>
      </c>
      <c r="F163" t="s">
        <v>16</v>
      </c>
      <c r="G163">
        <v>1</v>
      </c>
      <c r="H163">
        <v>1043</v>
      </c>
      <c r="I163">
        <v>1043</v>
      </c>
      <c r="J163" t="s">
        <v>30</v>
      </c>
      <c r="K163" t="s">
        <v>77</v>
      </c>
    </row>
    <row r="164" spans="1:11" x14ac:dyDescent="0.25">
      <c r="A164" t="s">
        <v>499</v>
      </c>
      <c r="B164" t="s">
        <v>500</v>
      </c>
      <c r="C164" t="s">
        <v>501</v>
      </c>
      <c r="D164" t="s">
        <v>46</v>
      </c>
      <c r="E164" t="s">
        <v>57</v>
      </c>
      <c r="F164" t="s">
        <v>58</v>
      </c>
      <c r="G164">
        <v>20</v>
      </c>
      <c r="H164">
        <v>781</v>
      </c>
      <c r="I164">
        <v>15620</v>
      </c>
      <c r="J164" t="s">
        <v>36</v>
      </c>
      <c r="K164" t="s">
        <v>24</v>
      </c>
    </row>
    <row r="165" spans="1:11" x14ac:dyDescent="0.25">
      <c r="A165" t="s">
        <v>502</v>
      </c>
      <c r="B165" t="s">
        <v>288</v>
      </c>
      <c r="C165" t="s">
        <v>503</v>
      </c>
      <c r="D165" t="s">
        <v>46</v>
      </c>
      <c r="E165" t="s">
        <v>57</v>
      </c>
      <c r="F165" t="s">
        <v>139</v>
      </c>
      <c r="G165">
        <v>1</v>
      </c>
      <c r="H165">
        <v>741</v>
      </c>
      <c r="I165">
        <v>741</v>
      </c>
      <c r="J165" t="s">
        <v>36</v>
      </c>
      <c r="K165" t="s">
        <v>70</v>
      </c>
    </row>
    <row r="166" spans="1:11" x14ac:dyDescent="0.25">
      <c r="A166" t="s">
        <v>504</v>
      </c>
      <c r="B166" t="s">
        <v>505</v>
      </c>
      <c r="C166" t="s">
        <v>506</v>
      </c>
      <c r="D166" t="s">
        <v>14</v>
      </c>
      <c r="E166" t="s">
        <v>28</v>
      </c>
      <c r="F166" t="s">
        <v>41</v>
      </c>
      <c r="G166">
        <v>13</v>
      </c>
      <c r="H166">
        <v>1331</v>
      </c>
      <c r="I166">
        <v>17303</v>
      </c>
      <c r="J166" t="s">
        <v>36</v>
      </c>
      <c r="K166" t="s">
        <v>18</v>
      </c>
    </row>
    <row r="167" spans="1:11" x14ac:dyDescent="0.25">
      <c r="A167" t="s">
        <v>507</v>
      </c>
      <c r="B167" t="s">
        <v>346</v>
      </c>
      <c r="C167" t="s">
        <v>508</v>
      </c>
      <c r="D167" t="s">
        <v>14</v>
      </c>
      <c r="E167" t="s">
        <v>15</v>
      </c>
      <c r="F167" t="s">
        <v>154</v>
      </c>
      <c r="G167">
        <v>7</v>
      </c>
      <c r="H167">
        <v>148</v>
      </c>
      <c r="I167">
        <v>1036</v>
      </c>
      <c r="J167" t="s">
        <v>30</v>
      </c>
      <c r="K167" t="s">
        <v>53</v>
      </c>
    </row>
    <row r="168" spans="1:11" x14ac:dyDescent="0.25">
      <c r="A168" t="s">
        <v>509</v>
      </c>
      <c r="B168" t="s">
        <v>510</v>
      </c>
      <c r="C168" t="s">
        <v>511</v>
      </c>
      <c r="D168" t="s">
        <v>40</v>
      </c>
      <c r="E168" t="s">
        <v>34</v>
      </c>
      <c r="F168" t="s">
        <v>47</v>
      </c>
      <c r="G168">
        <v>15</v>
      </c>
      <c r="H168">
        <v>172</v>
      </c>
      <c r="I168">
        <v>2580</v>
      </c>
      <c r="J168" t="s">
        <v>30</v>
      </c>
      <c r="K168" t="s">
        <v>77</v>
      </c>
    </row>
    <row r="169" spans="1:11" x14ac:dyDescent="0.25">
      <c r="A169" t="s">
        <v>512</v>
      </c>
      <c r="B169" t="s">
        <v>489</v>
      </c>
      <c r="C169" t="s">
        <v>513</v>
      </c>
      <c r="D169" t="s">
        <v>14</v>
      </c>
      <c r="E169" t="s">
        <v>15</v>
      </c>
      <c r="F169" t="s">
        <v>66</v>
      </c>
      <c r="G169">
        <v>16</v>
      </c>
      <c r="H169">
        <v>1791</v>
      </c>
      <c r="I169">
        <v>28656</v>
      </c>
      <c r="J169" t="s">
        <v>30</v>
      </c>
      <c r="K169" t="s">
        <v>42</v>
      </c>
    </row>
    <row r="170" spans="1:11" x14ac:dyDescent="0.25">
      <c r="A170" t="s">
        <v>514</v>
      </c>
      <c r="B170" t="s">
        <v>515</v>
      </c>
      <c r="C170" t="s">
        <v>516</v>
      </c>
      <c r="D170" t="s">
        <v>14</v>
      </c>
      <c r="E170" t="s">
        <v>28</v>
      </c>
      <c r="F170" t="s">
        <v>119</v>
      </c>
      <c r="G170">
        <v>14</v>
      </c>
      <c r="H170">
        <v>1057</v>
      </c>
      <c r="I170">
        <v>14798</v>
      </c>
      <c r="J170" t="s">
        <v>30</v>
      </c>
      <c r="K170" t="s">
        <v>70</v>
      </c>
    </row>
    <row r="171" spans="1:11" x14ac:dyDescent="0.25">
      <c r="A171" t="s">
        <v>517</v>
      </c>
      <c r="B171" t="s">
        <v>518</v>
      </c>
      <c r="C171" t="s">
        <v>519</v>
      </c>
      <c r="D171" t="s">
        <v>46</v>
      </c>
      <c r="E171" t="s">
        <v>57</v>
      </c>
      <c r="F171" t="s">
        <v>58</v>
      </c>
      <c r="G171">
        <v>12</v>
      </c>
      <c r="H171">
        <v>312</v>
      </c>
      <c r="I171">
        <v>3744</v>
      </c>
      <c r="J171" t="s">
        <v>36</v>
      </c>
      <c r="K171" t="s">
        <v>18</v>
      </c>
    </row>
    <row r="172" spans="1:11" x14ac:dyDescent="0.25">
      <c r="A172" t="s">
        <v>520</v>
      </c>
      <c r="B172" t="s">
        <v>152</v>
      </c>
      <c r="C172" t="s">
        <v>521</v>
      </c>
      <c r="D172" t="s">
        <v>40</v>
      </c>
      <c r="E172" t="s">
        <v>28</v>
      </c>
      <c r="F172" t="s">
        <v>29</v>
      </c>
      <c r="G172">
        <v>2</v>
      </c>
      <c r="H172">
        <v>1634</v>
      </c>
      <c r="I172">
        <v>3268</v>
      </c>
      <c r="J172" t="s">
        <v>62</v>
      </c>
      <c r="K172" t="s">
        <v>70</v>
      </c>
    </row>
    <row r="173" spans="1:11" x14ac:dyDescent="0.25">
      <c r="A173" t="s">
        <v>522</v>
      </c>
      <c r="B173" t="s">
        <v>285</v>
      </c>
      <c r="C173" t="s">
        <v>523</v>
      </c>
      <c r="D173" t="s">
        <v>46</v>
      </c>
      <c r="E173" t="s">
        <v>28</v>
      </c>
      <c r="F173" t="s">
        <v>52</v>
      </c>
      <c r="G173">
        <v>14</v>
      </c>
      <c r="H173">
        <v>1848</v>
      </c>
      <c r="I173">
        <v>25872</v>
      </c>
      <c r="J173" t="s">
        <v>62</v>
      </c>
      <c r="K173" t="s">
        <v>42</v>
      </c>
    </row>
    <row r="174" spans="1:11" x14ac:dyDescent="0.25">
      <c r="A174" t="s">
        <v>524</v>
      </c>
      <c r="B174" t="s">
        <v>525</v>
      </c>
      <c r="C174" t="s">
        <v>526</v>
      </c>
      <c r="D174" t="s">
        <v>14</v>
      </c>
      <c r="E174" t="s">
        <v>57</v>
      </c>
      <c r="F174" t="s">
        <v>58</v>
      </c>
      <c r="G174">
        <v>3</v>
      </c>
      <c r="H174">
        <v>1920</v>
      </c>
      <c r="I174">
        <v>5760</v>
      </c>
      <c r="J174" t="s">
        <v>36</v>
      </c>
      <c r="K174" t="s">
        <v>42</v>
      </c>
    </row>
    <row r="175" spans="1:11" x14ac:dyDescent="0.25">
      <c r="A175" t="s">
        <v>527</v>
      </c>
      <c r="B175" t="s">
        <v>149</v>
      </c>
      <c r="C175" t="s">
        <v>528</v>
      </c>
      <c r="D175" t="s">
        <v>22</v>
      </c>
      <c r="E175" t="s">
        <v>57</v>
      </c>
      <c r="F175" t="s">
        <v>135</v>
      </c>
      <c r="G175">
        <v>18</v>
      </c>
      <c r="H175">
        <v>1955</v>
      </c>
      <c r="I175">
        <v>35190</v>
      </c>
      <c r="J175" t="s">
        <v>36</v>
      </c>
      <c r="K175" t="s">
        <v>18</v>
      </c>
    </row>
    <row r="176" spans="1:11" x14ac:dyDescent="0.25">
      <c r="A176" t="s">
        <v>529</v>
      </c>
      <c r="B176" t="s">
        <v>355</v>
      </c>
      <c r="C176" t="s">
        <v>530</v>
      </c>
      <c r="D176" t="s">
        <v>14</v>
      </c>
      <c r="E176" t="s">
        <v>28</v>
      </c>
      <c r="F176" t="s">
        <v>119</v>
      </c>
      <c r="G176">
        <v>16</v>
      </c>
      <c r="H176">
        <v>601</v>
      </c>
      <c r="I176">
        <v>9616</v>
      </c>
      <c r="J176" t="s">
        <v>62</v>
      </c>
      <c r="K176" t="s">
        <v>24</v>
      </c>
    </row>
    <row r="177" spans="1:11" x14ac:dyDescent="0.25">
      <c r="A177" t="s">
        <v>531</v>
      </c>
      <c r="B177" t="s">
        <v>532</v>
      </c>
      <c r="C177" t="s">
        <v>533</v>
      </c>
      <c r="D177" t="s">
        <v>46</v>
      </c>
      <c r="E177" t="s">
        <v>15</v>
      </c>
      <c r="F177" t="s">
        <v>23</v>
      </c>
      <c r="G177">
        <v>7</v>
      </c>
      <c r="H177">
        <v>1321</v>
      </c>
      <c r="I177">
        <v>9247</v>
      </c>
      <c r="J177" t="s">
        <v>17</v>
      </c>
      <c r="K177" t="s">
        <v>42</v>
      </c>
    </row>
    <row r="178" spans="1:11" x14ac:dyDescent="0.25">
      <c r="A178" t="s">
        <v>534</v>
      </c>
      <c r="B178" t="s">
        <v>510</v>
      </c>
      <c r="C178" t="s">
        <v>535</v>
      </c>
      <c r="D178" t="s">
        <v>40</v>
      </c>
      <c r="E178" t="s">
        <v>28</v>
      </c>
      <c r="F178" t="s">
        <v>29</v>
      </c>
      <c r="G178">
        <v>17</v>
      </c>
      <c r="H178">
        <v>1205</v>
      </c>
      <c r="I178">
        <v>20485</v>
      </c>
      <c r="J178" t="s">
        <v>17</v>
      </c>
      <c r="K178" t="s">
        <v>77</v>
      </c>
    </row>
    <row r="179" spans="1:11" x14ac:dyDescent="0.25">
      <c r="A179" t="s">
        <v>536</v>
      </c>
      <c r="B179" t="s">
        <v>537</v>
      </c>
      <c r="C179" t="s">
        <v>538</v>
      </c>
      <c r="D179" t="s">
        <v>40</v>
      </c>
      <c r="E179" t="s">
        <v>57</v>
      </c>
      <c r="F179" t="s">
        <v>58</v>
      </c>
      <c r="G179">
        <v>16</v>
      </c>
      <c r="H179">
        <v>850</v>
      </c>
      <c r="I179">
        <v>13600</v>
      </c>
      <c r="J179" t="s">
        <v>36</v>
      </c>
      <c r="K179" t="s">
        <v>77</v>
      </c>
    </row>
    <row r="180" spans="1:11" x14ac:dyDescent="0.25">
      <c r="A180" t="s">
        <v>539</v>
      </c>
      <c r="B180" t="s">
        <v>334</v>
      </c>
      <c r="C180" t="s">
        <v>540</v>
      </c>
      <c r="D180" t="s">
        <v>14</v>
      </c>
      <c r="E180" t="s">
        <v>28</v>
      </c>
      <c r="F180" t="s">
        <v>41</v>
      </c>
      <c r="G180">
        <v>2</v>
      </c>
      <c r="H180">
        <v>1044</v>
      </c>
      <c r="I180">
        <v>2088</v>
      </c>
      <c r="J180" t="s">
        <v>36</v>
      </c>
      <c r="K180" t="s">
        <v>70</v>
      </c>
    </row>
    <row r="181" spans="1:11" x14ac:dyDescent="0.25">
      <c r="A181" t="s">
        <v>541</v>
      </c>
      <c r="B181" t="s">
        <v>542</v>
      </c>
      <c r="C181" t="s">
        <v>543</v>
      </c>
      <c r="D181" t="s">
        <v>40</v>
      </c>
      <c r="E181" t="s">
        <v>28</v>
      </c>
      <c r="F181" t="s">
        <v>29</v>
      </c>
      <c r="G181">
        <v>3</v>
      </c>
      <c r="H181">
        <v>846</v>
      </c>
      <c r="I181">
        <v>2538</v>
      </c>
      <c r="J181" t="s">
        <v>36</v>
      </c>
      <c r="K181" t="s">
        <v>53</v>
      </c>
    </row>
    <row r="182" spans="1:11" x14ac:dyDescent="0.25">
      <c r="A182" t="s">
        <v>544</v>
      </c>
      <c r="B182" t="s">
        <v>146</v>
      </c>
      <c r="C182" t="s">
        <v>545</v>
      </c>
      <c r="D182" t="s">
        <v>22</v>
      </c>
      <c r="E182" t="s">
        <v>34</v>
      </c>
      <c r="F182" t="s">
        <v>112</v>
      </c>
      <c r="G182">
        <v>4</v>
      </c>
      <c r="H182">
        <v>315</v>
      </c>
      <c r="I182">
        <v>1260</v>
      </c>
      <c r="J182" t="s">
        <v>17</v>
      </c>
      <c r="K182" t="s">
        <v>18</v>
      </c>
    </row>
    <row r="183" spans="1:11" x14ac:dyDescent="0.25">
      <c r="A183" t="s">
        <v>546</v>
      </c>
      <c r="B183" t="s">
        <v>547</v>
      </c>
      <c r="C183" t="s">
        <v>548</v>
      </c>
      <c r="D183" t="s">
        <v>46</v>
      </c>
      <c r="E183" t="s">
        <v>34</v>
      </c>
      <c r="F183" t="s">
        <v>47</v>
      </c>
      <c r="G183">
        <v>13</v>
      </c>
      <c r="H183">
        <v>1224</v>
      </c>
      <c r="I183">
        <v>15912</v>
      </c>
      <c r="J183" t="s">
        <v>36</v>
      </c>
      <c r="K183" t="s">
        <v>53</v>
      </c>
    </row>
    <row r="184" spans="1:11" x14ac:dyDescent="0.25">
      <c r="A184" t="s">
        <v>549</v>
      </c>
      <c r="B184" t="s">
        <v>550</v>
      </c>
      <c r="C184" t="s">
        <v>551</v>
      </c>
      <c r="D184" t="s">
        <v>46</v>
      </c>
      <c r="E184" t="s">
        <v>34</v>
      </c>
      <c r="F184" t="s">
        <v>112</v>
      </c>
      <c r="G184">
        <v>1</v>
      </c>
      <c r="H184">
        <v>1555</v>
      </c>
      <c r="I184">
        <v>1555</v>
      </c>
      <c r="J184" t="s">
        <v>62</v>
      </c>
      <c r="K184" t="s">
        <v>24</v>
      </c>
    </row>
    <row r="185" spans="1:11" x14ac:dyDescent="0.25">
      <c r="A185" t="s">
        <v>552</v>
      </c>
      <c r="B185" t="s">
        <v>79</v>
      </c>
      <c r="C185" t="s">
        <v>553</v>
      </c>
      <c r="D185" t="s">
        <v>22</v>
      </c>
      <c r="E185" t="s">
        <v>28</v>
      </c>
      <c r="F185" t="s">
        <v>29</v>
      </c>
      <c r="G185">
        <v>10</v>
      </c>
      <c r="H185">
        <v>1534</v>
      </c>
      <c r="I185">
        <v>15340</v>
      </c>
      <c r="J185" t="s">
        <v>30</v>
      </c>
      <c r="K185" t="s">
        <v>42</v>
      </c>
    </row>
    <row r="186" spans="1:11" x14ac:dyDescent="0.25">
      <c r="A186" t="s">
        <v>554</v>
      </c>
      <c r="B186" t="s">
        <v>121</v>
      </c>
      <c r="C186" t="s">
        <v>555</v>
      </c>
      <c r="D186" t="s">
        <v>22</v>
      </c>
      <c r="E186" t="s">
        <v>57</v>
      </c>
      <c r="F186" t="s">
        <v>58</v>
      </c>
      <c r="G186">
        <v>5</v>
      </c>
      <c r="H186">
        <v>1257</v>
      </c>
      <c r="I186">
        <v>6285</v>
      </c>
      <c r="J186" t="s">
        <v>17</v>
      </c>
      <c r="K186" t="s">
        <v>53</v>
      </c>
    </row>
    <row r="187" spans="1:11" x14ac:dyDescent="0.25">
      <c r="A187" t="s">
        <v>556</v>
      </c>
      <c r="B187" t="s">
        <v>223</v>
      </c>
      <c r="C187" t="s">
        <v>557</v>
      </c>
      <c r="D187" t="s">
        <v>22</v>
      </c>
      <c r="E187" t="s">
        <v>28</v>
      </c>
      <c r="F187" t="s">
        <v>52</v>
      </c>
      <c r="G187">
        <v>8</v>
      </c>
      <c r="H187">
        <v>1704</v>
      </c>
      <c r="I187">
        <v>13632</v>
      </c>
      <c r="J187" t="s">
        <v>30</v>
      </c>
      <c r="K187" t="s">
        <v>70</v>
      </c>
    </row>
    <row r="188" spans="1:11" x14ac:dyDescent="0.25">
      <c r="A188" t="s">
        <v>558</v>
      </c>
      <c r="B188" t="s">
        <v>238</v>
      </c>
      <c r="C188" t="s">
        <v>559</v>
      </c>
      <c r="D188" t="s">
        <v>40</v>
      </c>
      <c r="E188" t="s">
        <v>57</v>
      </c>
      <c r="F188" t="s">
        <v>139</v>
      </c>
      <c r="G188">
        <v>9</v>
      </c>
      <c r="H188">
        <v>1902</v>
      </c>
      <c r="I188">
        <v>17118</v>
      </c>
      <c r="J188" t="s">
        <v>17</v>
      </c>
      <c r="K188" t="s">
        <v>48</v>
      </c>
    </row>
    <row r="189" spans="1:11" x14ac:dyDescent="0.25">
      <c r="A189" t="s">
        <v>560</v>
      </c>
      <c r="B189" t="s">
        <v>561</v>
      </c>
      <c r="C189" t="s">
        <v>562</v>
      </c>
      <c r="D189" t="s">
        <v>22</v>
      </c>
      <c r="E189" t="s">
        <v>15</v>
      </c>
      <c r="F189" t="s">
        <v>66</v>
      </c>
      <c r="G189">
        <v>15</v>
      </c>
      <c r="H189">
        <v>827</v>
      </c>
      <c r="I189">
        <v>12405</v>
      </c>
      <c r="J189" t="s">
        <v>30</v>
      </c>
      <c r="K189" t="s">
        <v>48</v>
      </c>
    </row>
    <row r="190" spans="1:11" x14ac:dyDescent="0.25">
      <c r="A190" t="s">
        <v>563</v>
      </c>
      <c r="B190" t="s">
        <v>152</v>
      </c>
      <c r="C190" t="s">
        <v>564</v>
      </c>
      <c r="D190" t="s">
        <v>40</v>
      </c>
      <c r="E190" t="s">
        <v>57</v>
      </c>
      <c r="F190" t="s">
        <v>106</v>
      </c>
      <c r="G190">
        <v>20</v>
      </c>
      <c r="H190">
        <v>821</v>
      </c>
      <c r="I190">
        <v>16420</v>
      </c>
      <c r="J190" t="s">
        <v>36</v>
      </c>
      <c r="K190" t="s">
        <v>53</v>
      </c>
    </row>
    <row r="191" spans="1:11" x14ac:dyDescent="0.25">
      <c r="A191" t="s">
        <v>565</v>
      </c>
      <c r="B191" t="s">
        <v>364</v>
      </c>
      <c r="C191" t="s">
        <v>566</v>
      </c>
      <c r="D191" t="s">
        <v>46</v>
      </c>
      <c r="E191" t="s">
        <v>28</v>
      </c>
      <c r="F191" t="s">
        <v>41</v>
      </c>
      <c r="G191">
        <v>10</v>
      </c>
      <c r="H191">
        <v>547</v>
      </c>
      <c r="I191">
        <v>5470</v>
      </c>
      <c r="J191" t="s">
        <v>62</v>
      </c>
      <c r="K191" t="s">
        <v>42</v>
      </c>
    </row>
    <row r="192" spans="1:11" x14ac:dyDescent="0.25">
      <c r="A192" t="s">
        <v>567</v>
      </c>
      <c r="B192" t="s">
        <v>568</v>
      </c>
      <c r="C192" t="s">
        <v>569</v>
      </c>
      <c r="D192" t="s">
        <v>22</v>
      </c>
      <c r="E192" t="s">
        <v>57</v>
      </c>
      <c r="F192" t="s">
        <v>135</v>
      </c>
      <c r="G192">
        <v>7</v>
      </c>
      <c r="H192">
        <v>110</v>
      </c>
      <c r="I192">
        <v>770</v>
      </c>
      <c r="J192" t="s">
        <v>36</v>
      </c>
      <c r="K192" t="s">
        <v>48</v>
      </c>
    </row>
    <row r="193" spans="1:11" x14ac:dyDescent="0.25">
      <c r="A193" t="s">
        <v>570</v>
      </c>
      <c r="B193" t="s">
        <v>475</v>
      </c>
      <c r="C193" t="s">
        <v>571</v>
      </c>
      <c r="D193" t="s">
        <v>14</v>
      </c>
      <c r="E193" t="s">
        <v>34</v>
      </c>
      <c r="F193" t="s">
        <v>112</v>
      </c>
      <c r="G193">
        <v>6</v>
      </c>
      <c r="H193">
        <v>715</v>
      </c>
      <c r="I193">
        <v>4290</v>
      </c>
      <c r="J193" t="s">
        <v>17</v>
      </c>
      <c r="K193" t="s">
        <v>70</v>
      </c>
    </row>
    <row r="194" spans="1:11" x14ac:dyDescent="0.25">
      <c r="A194" t="s">
        <v>572</v>
      </c>
      <c r="B194" t="s">
        <v>573</v>
      </c>
      <c r="C194" t="s">
        <v>574</v>
      </c>
      <c r="D194" t="s">
        <v>40</v>
      </c>
      <c r="E194" t="s">
        <v>15</v>
      </c>
      <c r="F194" t="s">
        <v>23</v>
      </c>
      <c r="G194">
        <v>2</v>
      </c>
      <c r="H194">
        <v>710</v>
      </c>
      <c r="I194">
        <v>1420</v>
      </c>
      <c r="J194" t="s">
        <v>36</v>
      </c>
      <c r="K194" t="s">
        <v>18</v>
      </c>
    </row>
    <row r="195" spans="1:11" x14ac:dyDescent="0.25">
      <c r="A195" t="s">
        <v>575</v>
      </c>
      <c r="B195" t="s">
        <v>311</v>
      </c>
      <c r="C195" t="s">
        <v>576</v>
      </c>
      <c r="D195" t="s">
        <v>14</v>
      </c>
      <c r="E195" t="s">
        <v>15</v>
      </c>
      <c r="F195" t="s">
        <v>23</v>
      </c>
      <c r="G195">
        <v>4</v>
      </c>
      <c r="H195">
        <v>635</v>
      </c>
      <c r="I195">
        <v>2540</v>
      </c>
      <c r="J195" t="s">
        <v>17</v>
      </c>
      <c r="K195" t="s">
        <v>42</v>
      </c>
    </row>
    <row r="196" spans="1:11" x14ac:dyDescent="0.25">
      <c r="A196" t="s">
        <v>577</v>
      </c>
      <c r="B196" t="s">
        <v>179</v>
      </c>
      <c r="C196" t="s">
        <v>578</v>
      </c>
      <c r="D196" t="s">
        <v>46</v>
      </c>
      <c r="E196" t="s">
        <v>15</v>
      </c>
      <c r="F196" t="s">
        <v>23</v>
      </c>
      <c r="G196">
        <v>12</v>
      </c>
      <c r="H196">
        <v>1649</v>
      </c>
      <c r="I196">
        <v>19788</v>
      </c>
      <c r="J196" t="s">
        <v>62</v>
      </c>
      <c r="K196" t="s">
        <v>24</v>
      </c>
    </row>
    <row r="197" spans="1:11" x14ac:dyDescent="0.25">
      <c r="A197" t="s">
        <v>579</v>
      </c>
      <c r="B197" t="s">
        <v>168</v>
      </c>
      <c r="C197" t="s">
        <v>580</v>
      </c>
      <c r="D197" t="s">
        <v>40</v>
      </c>
      <c r="E197" t="s">
        <v>57</v>
      </c>
      <c r="F197" t="s">
        <v>135</v>
      </c>
      <c r="G197">
        <v>4</v>
      </c>
      <c r="H197">
        <v>611</v>
      </c>
      <c r="I197">
        <v>2444</v>
      </c>
      <c r="J197" t="s">
        <v>17</v>
      </c>
      <c r="K197" t="s">
        <v>70</v>
      </c>
    </row>
    <row r="198" spans="1:11" x14ac:dyDescent="0.25">
      <c r="A198" t="s">
        <v>581</v>
      </c>
      <c r="B198" t="s">
        <v>582</v>
      </c>
      <c r="C198" t="s">
        <v>583</v>
      </c>
      <c r="D198" t="s">
        <v>14</v>
      </c>
      <c r="E198" t="s">
        <v>34</v>
      </c>
      <c r="F198" t="s">
        <v>84</v>
      </c>
      <c r="G198">
        <v>1</v>
      </c>
      <c r="H198">
        <v>1873</v>
      </c>
      <c r="I198">
        <v>1873</v>
      </c>
      <c r="J198" t="s">
        <v>62</v>
      </c>
      <c r="K198" t="s">
        <v>24</v>
      </c>
    </row>
    <row r="199" spans="1:11" x14ac:dyDescent="0.25">
      <c r="A199" t="s">
        <v>584</v>
      </c>
      <c r="B199" t="s">
        <v>448</v>
      </c>
      <c r="C199" t="s">
        <v>585</v>
      </c>
      <c r="D199" t="s">
        <v>14</v>
      </c>
      <c r="E199" t="s">
        <v>28</v>
      </c>
      <c r="F199" t="s">
        <v>29</v>
      </c>
      <c r="G199">
        <v>12</v>
      </c>
      <c r="H199">
        <v>168</v>
      </c>
      <c r="I199">
        <v>2016</v>
      </c>
      <c r="J199" t="s">
        <v>36</v>
      </c>
      <c r="K199" t="s">
        <v>42</v>
      </c>
    </row>
    <row r="200" spans="1:11" x14ac:dyDescent="0.25">
      <c r="A200" t="s">
        <v>586</v>
      </c>
      <c r="B200" t="s">
        <v>50</v>
      </c>
      <c r="C200" t="s">
        <v>587</v>
      </c>
      <c r="D200" t="s">
        <v>14</v>
      </c>
      <c r="E200" t="s">
        <v>15</v>
      </c>
      <c r="F200" t="s">
        <v>23</v>
      </c>
      <c r="G200">
        <v>1</v>
      </c>
      <c r="H200">
        <v>1867</v>
      </c>
      <c r="I200">
        <v>1867</v>
      </c>
      <c r="J200" t="s">
        <v>62</v>
      </c>
      <c r="K200" t="s">
        <v>24</v>
      </c>
    </row>
    <row r="201" spans="1:11" x14ac:dyDescent="0.25">
      <c r="A201" t="s">
        <v>588</v>
      </c>
      <c r="B201" t="s">
        <v>235</v>
      </c>
      <c r="C201" t="s">
        <v>589</v>
      </c>
      <c r="D201" t="s">
        <v>46</v>
      </c>
      <c r="E201" t="s">
        <v>34</v>
      </c>
      <c r="F201" t="s">
        <v>35</v>
      </c>
      <c r="G201">
        <v>5</v>
      </c>
      <c r="H201">
        <v>278</v>
      </c>
      <c r="I201">
        <v>1390</v>
      </c>
      <c r="J201" t="s">
        <v>62</v>
      </c>
      <c r="K201" t="s">
        <v>48</v>
      </c>
    </row>
    <row r="202" spans="1:11" x14ac:dyDescent="0.25">
      <c r="A202" t="s">
        <v>590</v>
      </c>
      <c r="B202" t="s">
        <v>411</v>
      </c>
      <c r="C202" t="s">
        <v>591</v>
      </c>
      <c r="D202" t="s">
        <v>46</v>
      </c>
      <c r="E202" t="s">
        <v>15</v>
      </c>
      <c r="F202" t="s">
        <v>23</v>
      </c>
      <c r="G202">
        <v>6</v>
      </c>
      <c r="H202">
        <v>815</v>
      </c>
      <c r="I202">
        <v>4890</v>
      </c>
      <c r="J202" t="s">
        <v>36</v>
      </c>
      <c r="K202" t="s">
        <v>24</v>
      </c>
    </row>
    <row r="203" spans="1:11" x14ac:dyDescent="0.25">
      <c r="A203" t="s">
        <v>592</v>
      </c>
      <c r="B203" t="s">
        <v>593</v>
      </c>
      <c r="C203" t="s">
        <v>594</v>
      </c>
      <c r="D203" t="s">
        <v>46</v>
      </c>
      <c r="E203" t="s">
        <v>57</v>
      </c>
      <c r="F203" t="s">
        <v>139</v>
      </c>
      <c r="G203">
        <v>2</v>
      </c>
      <c r="H203">
        <v>229</v>
      </c>
      <c r="I203">
        <v>458</v>
      </c>
      <c r="J203" t="s">
        <v>17</v>
      </c>
      <c r="K203" t="s">
        <v>42</v>
      </c>
    </row>
    <row r="204" spans="1:11" x14ac:dyDescent="0.25">
      <c r="A204" t="s">
        <v>595</v>
      </c>
      <c r="B204" t="s">
        <v>596</v>
      </c>
      <c r="C204" t="s">
        <v>597</v>
      </c>
      <c r="D204" t="s">
        <v>40</v>
      </c>
      <c r="E204" t="s">
        <v>34</v>
      </c>
      <c r="F204" t="s">
        <v>112</v>
      </c>
      <c r="G204">
        <v>12</v>
      </c>
      <c r="H204">
        <v>621</v>
      </c>
      <c r="I204">
        <v>7452</v>
      </c>
      <c r="J204" t="s">
        <v>36</v>
      </c>
      <c r="K204" t="s">
        <v>70</v>
      </c>
    </row>
    <row r="205" spans="1:11" x14ac:dyDescent="0.25">
      <c r="A205" t="s">
        <v>598</v>
      </c>
      <c r="B205" t="s">
        <v>599</v>
      </c>
      <c r="C205" t="s">
        <v>600</v>
      </c>
      <c r="D205" t="s">
        <v>40</v>
      </c>
      <c r="E205" t="s">
        <v>28</v>
      </c>
      <c r="F205" t="s">
        <v>52</v>
      </c>
      <c r="G205">
        <v>16</v>
      </c>
      <c r="H205">
        <v>1066</v>
      </c>
      <c r="I205">
        <v>17056</v>
      </c>
      <c r="J205" t="s">
        <v>62</v>
      </c>
      <c r="K205" t="s">
        <v>70</v>
      </c>
    </row>
    <row r="206" spans="1:11" x14ac:dyDescent="0.25">
      <c r="A206" t="s">
        <v>601</v>
      </c>
      <c r="B206" t="s">
        <v>244</v>
      </c>
      <c r="C206" t="s">
        <v>602</v>
      </c>
      <c r="D206" t="s">
        <v>40</v>
      </c>
      <c r="E206" t="s">
        <v>15</v>
      </c>
      <c r="F206" t="s">
        <v>66</v>
      </c>
      <c r="G206">
        <v>17</v>
      </c>
      <c r="H206">
        <v>530</v>
      </c>
      <c r="I206">
        <v>9010</v>
      </c>
      <c r="J206" t="s">
        <v>17</v>
      </c>
      <c r="K206" t="s">
        <v>48</v>
      </c>
    </row>
    <row r="207" spans="1:11" x14ac:dyDescent="0.25">
      <c r="A207" t="s">
        <v>603</v>
      </c>
      <c r="B207" t="s">
        <v>604</v>
      </c>
      <c r="C207" t="s">
        <v>605</v>
      </c>
      <c r="D207" t="s">
        <v>22</v>
      </c>
      <c r="E207" t="s">
        <v>57</v>
      </c>
      <c r="F207" t="s">
        <v>58</v>
      </c>
      <c r="G207">
        <v>13</v>
      </c>
      <c r="H207">
        <v>1188</v>
      </c>
      <c r="I207">
        <v>15444</v>
      </c>
      <c r="J207" t="s">
        <v>62</v>
      </c>
      <c r="K207" t="s">
        <v>53</v>
      </c>
    </row>
    <row r="208" spans="1:11" x14ac:dyDescent="0.25">
      <c r="A208" t="s">
        <v>606</v>
      </c>
      <c r="B208" t="s">
        <v>361</v>
      </c>
      <c r="C208" t="s">
        <v>607</v>
      </c>
      <c r="D208" t="s">
        <v>46</v>
      </c>
      <c r="E208" t="s">
        <v>34</v>
      </c>
      <c r="F208" t="s">
        <v>112</v>
      </c>
      <c r="G208">
        <v>9</v>
      </c>
      <c r="H208">
        <v>343</v>
      </c>
      <c r="I208">
        <v>3087</v>
      </c>
      <c r="J208" t="s">
        <v>36</v>
      </c>
      <c r="K208" t="s">
        <v>70</v>
      </c>
    </row>
    <row r="209" spans="1:11" x14ac:dyDescent="0.25">
      <c r="A209" t="s">
        <v>608</v>
      </c>
      <c r="B209" t="s">
        <v>609</v>
      </c>
      <c r="C209" t="s">
        <v>610</v>
      </c>
      <c r="D209" t="s">
        <v>46</v>
      </c>
      <c r="E209" t="s">
        <v>57</v>
      </c>
      <c r="F209" t="s">
        <v>139</v>
      </c>
      <c r="G209">
        <v>4</v>
      </c>
      <c r="H209">
        <v>1875</v>
      </c>
      <c r="I209">
        <v>7500</v>
      </c>
      <c r="J209" t="s">
        <v>36</v>
      </c>
      <c r="K209" t="s">
        <v>77</v>
      </c>
    </row>
    <row r="210" spans="1:11" x14ac:dyDescent="0.25">
      <c r="A210" t="s">
        <v>611</v>
      </c>
      <c r="B210" t="s">
        <v>439</v>
      </c>
      <c r="C210" t="s">
        <v>612</v>
      </c>
      <c r="D210" t="s">
        <v>14</v>
      </c>
      <c r="E210" t="s">
        <v>15</v>
      </c>
      <c r="F210" t="s">
        <v>23</v>
      </c>
      <c r="G210">
        <v>12</v>
      </c>
      <c r="H210">
        <v>1340</v>
      </c>
      <c r="I210">
        <v>16080</v>
      </c>
      <c r="J210" t="s">
        <v>30</v>
      </c>
      <c r="K210" t="s">
        <v>48</v>
      </c>
    </row>
    <row r="211" spans="1:11" x14ac:dyDescent="0.25">
      <c r="A211" t="s">
        <v>613</v>
      </c>
      <c r="B211" t="s">
        <v>614</v>
      </c>
      <c r="C211" t="s">
        <v>615</v>
      </c>
      <c r="D211" t="s">
        <v>46</v>
      </c>
      <c r="E211" t="s">
        <v>28</v>
      </c>
      <c r="F211" t="s">
        <v>41</v>
      </c>
      <c r="G211">
        <v>13</v>
      </c>
      <c r="H211">
        <v>764</v>
      </c>
      <c r="I211">
        <v>9932</v>
      </c>
      <c r="J211" t="s">
        <v>17</v>
      </c>
      <c r="K211" t="s">
        <v>48</v>
      </c>
    </row>
    <row r="212" spans="1:11" x14ac:dyDescent="0.25">
      <c r="A212" t="s">
        <v>616</v>
      </c>
      <c r="B212" t="s">
        <v>223</v>
      </c>
      <c r="C212" t="s">
        <v>617</v>
      </c>
      <c r="D212" t="s">
        <v>22</v>
      </c>
      <c r="E212" t="s">
        <v>57</v>
      </c>
      <c r="F212" t="s">
        <v>58</v>
      </c>
      <c r="G212">
        <v>17</v>
      </c>
      <c r="H212">
        <v>1424</v>
      </c>
      <c r="I212">
        <v>24208</v>
      </c>
      <c r="J212" t="s">
        <v>30</v>
      </c>
      <c r="K212" t="s">
        <v>53</v>
      </c>
    </row>
    <row r="213" spans="1:11" x14ac:dyDescent="0.25">
      <c r="A213" t="s">
        <v>618</v>
      </c>
      <c r="B213" t="s">
        <v>480</v>
      </c>
      <c r="C213" t="s">
        <v>619</v>
      </c>
      <c r="D213" t="s">
        <v>46</v>
      </c>
      <c r="E213" t="s">
        <v>57</v>
      </c>
      <c r="F213" t="s">
        <v>135</v>
      </c>
      <c r="G213">
        <v>14</v>
      </c>
      <c r="H213">
        <v>563</v>
      </c>
      <c r="I213">
        <v>7882</v>
      </c>
      <c r="J213" t="s">
        <v>30</v>
      </c>
      <c r="K213" t="s">
        <v>48</v>
      </c>
    </row>
    <row r="214" spans="1:11" x14ac:dyDescent="0.25">
      <c r="A214" t="s">
        <v>620</v>
      </c>
      <c r="B214" t="s">
        <v>79</v>
      </c>
      <c r="C214" t="s">
        <v>621</v>
      </c>
      <c r="D214" t="s">
        <v>46</v>
      </c>
      <c r="E214" t="s">
        <v>34</v>
      </c>
      <c r="F214" t="s">
        <v>35</v>
      </c>
      <c r="G214">
        <v>3</v>
      </c>
      <c r="H214">
        <v>131</v>
      </c>
      <c r="I214">
        <v>393</v>
      </c>
      <c r="J214" t="s">
        <v>17</v>
      </c>
      <c r="K214" t="s">
        <v>77</v>
      </c>
    </row>
    <row r="215" spans="1:11" x14ac:dyDescent="0.25">
      <c r="A215" t="s">
        <v>622</v>
      </c>
      <c r="B215" t="s">
        <v>382</v>
      </c>
      <c r="C215" t="s">
        <v>623</v>
      </c>
      <c r="D215" t="s">
        <v>40</v>
      </c>
      <c r="E215" t="s">
        <v>57</v>
      </c>
      <c r="F215" t="s">
        <v>135</v>
      </c>
      <c r="G215">
        <v>12</v>
      </c>
      <c r="H215">
        <v>572</v>
      </c>
      <c r="I215">
        <v>6864</v>
      </c>
      <c r="J215" t="s">
        <v>17</v>
      </c>
      <c r="K215" t="s">
        <v>77</v>
      </c>
    </row>
    <row r="216" spans="1:11" x14ac:dyDescent="0.25">
      <c r="A216" t="s">
        <v>624</v>
      </c>
      <c r="B216" t="s">
        <v>428</v>
      </c>
      <c r="C216" t="s">
        <v>625</v>
      </c>
      <c r="D216" t="s">
        <v>46</v>
      </c>
      <c r="E216" t="s">
        <v>15</v>
      </c>
      <c r="F216" t="s">
        <v>154</v>
      </c>
      <c r="G216">
        <v>14</v>
      </c>
      <c r="H216">
        <v>1528</v>
      </c>
      <c r="I216">
        <v>21392</v>
      </c>
      <c r="J216" t="s">
        <v>36</v>
      </c>
      <c r="K216" t="s">
        <v>18</v>
      </c>
    </row>
    <row r="217" spans="1:11" x14ac:dyDescent="0.25">
      <c r="A217" t="s">
        <v>626</v>
      </c>
      <c r="B217" t="s">
        <v>367</v>
      </c>
      <c r="C217" t="s">
        <v>627</v>
      </c>
      <c r="D217" t="s">
        <v>46</v>
      </c>
      <c r="E217" t="s">
        <v>57</v>
      </c>
      <c r="F217" t="s">
        <v>139</v>
      </c>
      <c r="G217">
        <v>16</v>
      </c>
      <c r="H217">
        <v>712</v>
      </c>
      <c r="I217">
        <v>11392</v>
      </c>
      <c r="J217" t="s">
        <v>62</v>
      </c>
      <c r="K217" t="s">
        <v>42</v>
      </c>
    </row>
    <row r="218" spans="1:11" x14ac:dyDescent="0.25">
      <c r="A218" t="s">
        <v>628</v>
      </c>
      <c r="B218" t="s">
        <v>79</v>
      </c>
      <c r="C218" t="s">
        <v>629</v>
      </c>
      <c r="D218" t="s">
        <v>22</v>
      </c>
      <c r="E218" t="s">
        <v>57</v>
      </c>
      <c r="F218" t="s">
        <v>58</v>
      </c>
      <c r="G218">
        <v>5</v>
      </c>
      <c r="H218">
        <v>1985</v>
      </c>
      <c r="I218">
        <v>9925</v>
      </c>
      <c r="J218" t="s">
        <v>62</v>
      </c>
      <c r="K218" t="s">
        <v>24</v>
      </c>
    </row>
    <row r="219" spans="1:11" x14ac:dyDescent="0.25">
      <c r="A219" t="s">
        <v>630</v>
      </c>
      <c r="B219" t="s">
        <v>631</v>
      </c>
      <c r="C219" t="s">
        <v>632</v>
      </c>
      <c r="D219" t="s">
        <v>40</v>
      </c>
      <c r="E219" t="s">
        <v>57</v>
      </c>
      <c r="F219" t="s">
        <v>106</v>
      </c>
      <c r="G219">
        <v>4</v>
      </c>
      <c r="H219">
        <v>988</v>
      </c>
      <c r="I219">
        <v>3952</v>
      </c>
      <c r="J219" t="s">
        <v>17</v>
      </c>
      <c r="K219" t="s">
        <v>77</v>
      </c>
    </row>
    <row r="220" spans="1:11" x14ac:dyDescent="0.25">
      <c r="A220" t="s">
        <v>633</v>
      </c>
      <c r="B220" t="s">
        <v>373</v>
      </c>
      <c r="C220" t="s">
        <v>634</v>
      </c>
      <c r="D220" t="s">
        <v>22</v>
      </c>
      <c r="E220" t="s">
        <v>57</v>
      </c>
      <c r="F220" t="s">
        <v>135</v>
      </c>
      <c r="G220">
        <v>11</v>
      </c>
      <c r="H220">
        <v>1976</v>
      </c>
      <c r="I220">
        <v>21736</v>
      </c>
      <c r="J220" t="s">
        <v>30</v>
      </c>
      <c r="K220" t="s">
        <v>70</v>
      </c>
    </row>
    <row r="221" spans="1:11" x14ac:dyDescent="0.25">
      <c r="A221" t="s">
        <v>635</v>
      </c>
      <c r="B221" t="s">
        <v>636</v>
      </c>
      <c r="C221" t="s">
        <v>637</v>
      </c>
      <c r="D221" t="s">
        <v>22</v>
      </c>
      <c r="E221" t="s">
        <v>57</v>
      </c>
      <c r="F221" t="s">
        <v>58</v>
      </c>
      <c r="G221">
        <v>8</v>
      </c>
      <c r="H221">
        <v>945</v>
      </c>
      <c r="I221">
        <v>7560</v>
      </c>
      <c r="J221" t="s">
        <v>30</v>
      </c>
      <c r="K221" t="s">
        <v>18</v>
      </c>
    </row>
    <row r="222" spans="1:11" x14ac:dyDescent="0.25">
      <c r="A222" t="s">
        <v>638</v>
      </c>
      <c r="B222" t="s">
        <v>500</v>
      </c>
      <c r="C222" t="s">
        <v>639</v>
      </c>
      <c r="D222" t="s">
        <v>46</v>
      </c>
      <c r="E222" t="s">
        <v>15</v>
      </c>
      <c r="F222" t="s">
        <v>66</v>
      </c>
      <c r="G222">
        <v>8</v>
      </c>
      <c r="H222">
        <v>1715</v>
      </c>
      <c r="I222">
        <v>13720</v>
      </c>
      <c r="J222" t="s">
        <v>30</v>
      </c>
      <c r="K222" t="s">
        <v>42</v>
      </c>
    </row>
    <row r="223" spans="1:11" x14ac:dyDescent="0.25">
      <c r="A223" t="s">
        <v>640</v>
      </c>
      <c r="B223" t="s">
        <v>439</v>
      </c>
      <c r="C223" t="s">
        <v>641</v>
      </c>
      <c r="D223" t="s">
        <v>22</v>
      </c>
      <c r="E223" t="s">
        <v>15</v>
      </c>
      <c r="F223" t="s">
        <v>16</v>
      </c>
      <c r="G223">
        <v>12</v>
      </c>
      <c r="H223">
        <v>466</v>
      </c>
      <c r="I223">
        <v>5592</v>
      </c>
      <c r="J223" t="s">
        <v>30</v>
      </c>
      <c r="K223" t="s">
        <v>70</v>
      </c>
    </row>
    <row r="224" spans="1:11" x14ac:dyDescent="0.25">
      <c r="A224" t="s">
        <v>642</v>
      </c>
      <c r="B224" t="s">
        <v>643</v>
      </c>
      <c r="C224" t="s">
        <v>644</v>
      </c>
      <c r="D224" t="s">
        <v>14</v>
      </c>
      <c r="E224" t="s">
        <v>15</v>
      </c>
      <c r="F224" t="s">
        <v>23</v>
      </c>
      <c r="G224">
        <v>1</v>
      </c>
      <c r="H224">
        <v>555</v>
      </c>
      <c r="I224">
        <v>555</v>
      </c>
      <c r="J224" t="s">
        <v>62</v>
      </c>
      <c r="K224" t="s">
        <v>53</v>
      </c>
    </row>
    <row r="225" spans="1:11" x14ac:dyDescent="0.25">
      <c r="A225" t="s">
        <v>645</v>
      </c>
      <c r="B225" t="s">
        <v>646</v>
      </c>
      <c r="C225" t="s">
        <v>647</v>
      </c>
      <c r="D225" t="s">
        <v>14</v>
      </c>
      <c r="E225" t="s">
        <v>57</v>
      </c>
      <c r="F225" t="s">
        <v>139</v>
      </c>
      <c r="G225">
        <v>13</v>
      </c>
      <c r="H225">
        <v>1880</v>
      </c>
      <c r="I225">
        <v>24440</v>
      </c>
      <c r="J225" t="s">
        <v>17</v>
      </c>
      <c r="K225" t="s">
        <v>48</v>
      </c>
    </row>
    <row r="226" spans="1:11" x14ac:dyDescent="0.25">
      <c r="A226" t="s">
        <v>648</v>
      </c>
      <c r="B226" t="s">
        <v>346</v>
      </c>
      <c r="C226" t="s">
        <v>649</v>
      </c>
      <c r="D226" t="s">
        <v>14</v>
      </c>
      <c r="E226" t="s">
        <v>57</v>
      </c>
      <c r="F226" t="s">
        <v>106</v>
      </c>
      <c r="G226">
        <v>8</v>
      </c>
      <c r="H226">
        <v>1623</v>
      </c>
      <c r="I226">
        <v>12984</v>
      </c>
      <c r="J226" t="s">
        <v>30</v>
      </c>
      <c r="K226" t="s">
        <v>77</v>
      </c>
    </row>
    <row r="227" spans="1:11" x14ac:dyDescent="0.25">
      <c r="A227" t="s">
        <v>650</v>
      </c>
      <c r="B227" t="s">
        <v>124</v>
      </c>
      <c r="C227" t="s">
        <v>651</v>
      </c>
      <c r="D227" t="s">
        <v>22</v>
      </c>
      <c r="E227" t="s">
        <v>57</v>
      </c>
      <c r="F227" t="s">
        <v>135</v>
      </c>
      <c r="G227">
        <v>1</v>
      </c>
      <c r="H227">
        <v>1432</v>
      </c>
      <c r="I227">
        <v>1432</v>
      </c>
      <c r="J227" t="s">
        <v>36</v>
      </c>
      <c r="K227" t="s">
        <v>77</v>
      </c>
    </row>
    <row r="228" spans="1:11" x14ac:dyDescent="0.25">
      <c r="A228" t="s">
        <v>652</v>
      </c>
      <c r="B228" t="s">
        <v>82</v>
      </c>
      <c r="C228" t="s">
        <v>653</v>
      </c>
      <c r="D228" t="s">
        <v>46</v>
      </c>
      <c r="E228" t="s">
        <v>28</v>
      </c>
      <c r="F228" t="s">
        <v>41</v>
      </c>
      <c r="G228">
        <v>17</v>
      </c>
      <c r="H228">
        <v>178</v>
      </c>
      <c r="I228">
        <v>3026</v>
      </c>
      <c r="J228" t="s">
        <v>30</v>
      </c>
      <c r="K228" t="s">
        <v>24</v>
      </c>
    </row>
    <row r="229" spans="1:11" x14ac:dyDescent="0.25">
      <c r="A229" t="s">
        <v>654</v>
      </c>
      <c r="B229" t="s">
        <v>253</v>
      </c>
      <c r="C229" t="s">
        <v>655</v>
      </c>
      <c r="D229" t="s">
        <v>40</v>
      </c>
      <c r="E229" t="s">
        <v>15</v>
      </c>
      <c r="F229" t="s">
        <v>16</v>
      </c>
      <c r="G229">
        <v>17</v>
      </c>
      <c r="H229">
        <v>1358</v>
      </c>
      <c r="I229">
        <v>23086</v>
      </c>
      <c r="J229" t="s">
        <v>30</v>
      </c>
      <c r="K229" t="s">
        <v>18</v>
      </c>
    </row>
    <row r="230" spans="1:11" x14ac:dyDescent="0.25">
      <c r="A230" t="s">
        <v>656</v>
      </c>
      <c r="B230" t="s">
        <v>657</v>
      </c>
      <c r="C230" t="s">
        <v>658</v>
      </c>
      <c r="D230" t="s">
        <v>46</v>
      </c>
      <c r="E230" t="s">
        <v>28</v>
      </c>
      <c r="F230" t="s">
        <v>52</v>
      </c>
      <c r="G230">
        <v>5</v>
      </c>
      <c r="H230">
        <v>1646</v>
      </c>
      <c r="I230">
        <v>8230</v>
      </c>
      <c r="J230" t="s">
        <v>62</v>
      </c>
      <c r="K230" t="s">
        <v>53</v>
      </c>
    </row>
    <row r="231" spans="1:11" x14ac:dyDescent="0.25">
      <c r="A231" t="s">
        <v>659</v>
      </c>
      <c r="B231" t="s">
        <v>660</v>
      </c>
      <c r="C231" t="s">
        <v>661</v>
      </c>
      <c r="D231" t="s">
        <v>14</v>
      </c>
      <c r="E231" t="s">
        <v>34</v>
      </c>
      <c r="F231" t="s">
        <v>84</v>
      </c>
      <c r="G231">
        <v>11</v>
      </c>
      <c r="H231">
        <v>1579</v>
      </c>
      <c r="I231">
        <v>17369</v>
      </c>
      <c r="J231" t="s">
        <v>36</v>
      </c>
      <c r="K231" t="s">
        <v>70</v>
      </c>
    </row>
    <row r="232" spans="1:11" x14ac:dyDescent="0.25">
      <c r="A232" t="s">
        <v>662</v>
      </c>
      <c r="B232" t="s">
        <v>663</v>
      </c>
      <c r="C232" t="s">
        <v>664</v>
      </c>
      <c r="D232" t="s">
        <v>40</v>
      </c>
      <c r="E232" t="s">
        <v>28</v>
      </c>
      <c r="F232" t="s">
        <v>119</v>
      </c>
      <c r="G232">
        <v>10</v>
      </c>
      <c r="H232">
        <v>339</v>
      </c>
      <c r="I232">
        <v>3390</v>
      </c>
      <c r="J232" t="s">
        <v>36</v>
      </c>
      <c r="K232" t="s">
        <v>18</v>
      </c>
    </row>
    <row r="233" spans="1:11" x14ac:dyDescent="0.25">
      <c r="A233" t="s">
        <v>665</v>
      </c>
      <c r="B233" t="s">
        <v>463</v>
      </c>
      <c r="C233" t="s">
        <v>666</v>
      </c>
      <c r="D233" t="s">
        <v>46</v>
      </c>
      <c r="E233" t="s">
        <v>15</v>
      </c>
      <c r="F233" t="s">
        <v>66</v>
      </c>
      <c r="G233">
        <v>5</v>
      </c>
      <c r="H233">
        <v>305</v>
      </c>
      <c r="I233">
        <v>1525</v>
      </c>
      <c r="J233" t="s">
        <v>17</v>
      </c>
      <c r="K233" t="s">
        <v>42</v>
      </c>
    </row>
    <row r="234" spans="1:11" x14ac:dyDescent="0.25">
      <c r="A234" t="s">
        <v>667</v>
      </c>
      <c r="B234" t="s">
        <v>668</v>
      </c>
      <c r="C234" t="s">
        <v>669</v>
      </c>
      <c r="D234" t="s">
        <v>14</v>
      </c>
      <c r="E234" t="s">
        <v>57</v>
      </c>
      <c r="F234" t="s">
        <v>58</v>
      </c>
      <c r="G234">
        <v>17</v>
      </c>
      <c r="H234">
        <v>837</v>
      </c>
      <c r="I234">
        <v>14229</v>
      </c>
      <c r="J234" t="s">
        <v>30</v>
      </c>
      <c r="K234" t="s">
        <v>70</v>
      </c>
    </row>
    <row r="235" spans="1:11" x14ac:dyDescent="0.25">
      <c r="A235" t="s">
        <v>670</v>
      </c>
      <c r="B235" t="s">
        <v>671</v>
      </c>
      <c r="C235" t="s">
        <v>672</v>
      </c>
      <c r="D235" t="s">
        <v>14</v>
      </c>
      <c r="E235" t="s">
        <v>57</v>
      </c>
      <c r="F235" t="s">
        <v>58</v>
      </c>
      <c r="G235">
        <v>4</v>
      </c>
      <c r="H235">
        <v>1270</v>
      </c>
      <c r="I235">
        <v>5080</v>
      </c>
      <c r="J235" t="s">
        <v>36</v>
      </c>
      <c r="K235" t="s">
        <v>42</v>
      </c>
    </row>
    <row r="236" spans="1:11" x14ac:dyDescent="0.25">
      <c r="A236" t="s">
        <v>673</v>
      </c>
      <c r="B236" t="s">
        <v>599</v>
      </c>
      <c r="C236" t="s">
        <v>674</v>
      </c>
      <c r="D236" t="s">
        <v>40</v>
      </c>
      <c r="E236" t="s">
        <v>28</v>
      </c>
      <c r="F236" t="s">
        <v>52</v>
      </c>
      <c r="G236">
        <v>8</v>
      </c>
      <c r="H236">
        <v>1140</v>
      </c>
      <c r="I236">
        <v>9120</v>
      </c>
      <c r="J236" t="s">
        <v>17</v>
      </c>
      <c r="K236" t="s">
        <v>53</v>
      </c>
    </row>
    <row r="237" spans="1:11" x14ac:dyDescent="0.25">
      <c r="A237" t="s">
        <v>675</v>
      </c>
      <c r="B237" t="s">
        <v>201</v>
      </c>
      <c r="C237" t="s">
        <v>676</v>
      </c>
      <c r="D237" t="s">
        <v>46</v>
      </c>
      <c r="E237" t="s">
        <v>28</v>
      </c>
      <c r="F237" t="s">
        <v>52</v>
      </c>
      <c r="G237">
        <v>16</v>
      </c>
      <c r="H237">
        <v>939</v>
      </c>
      <c r="I237">
        <v>15024</v>
      </c>
      <c r="J237" t="s">
        <v>36</v>
      </c>
      <c r="K237" t="s">
        <v>48</v>
      </c>
    </row>
    <row r="238" spans="1:11" x14ac:dyDescent="0.25">
      <c r="A238" t="s">
        <v>677</v>
      </c>
      <c r="B238" t="s">
        <v>678</v>
      </c>
      <c r="C238" t="s">
        <v>679</v>
      </c>
      <c r="D238" t="s">
        <v>22</v>
      </c>
      <c r="E238" t="s">
        <v>34</v>
      </c>
      <c r="F238" t="s">
        <v>112</v>
      </c>
      <c r="G238">
        <v>4</v>
      </c>
      <c r="H238">
        <v>1227</v>
      </c>
      <c r="I238">
        <v>4908</v>
      </c>
      <c r="J238" t="s">
        <v>17</v>
      </c>
      <c r="K238" t="s">
        <v>77</v>
      </c>
    </row>
    <row r="239" spans="1:11" x14ac:dyDescent="0.25">
      <c r="A239" t="s">
        <v>680</v>
      </c>
      <c r="B239" t="s">
        <v>681</v>
      </c>
      <c r="C239" t="s">
        <v>682</v>
      </c>
      <c r="D239" t="s">
        <v>14</v>
      </c>
      <c r="E239" t="s">
        <v>57</v>
      </c>
      <c r="F239" t="s">
        <v>58</v>
      </c>
      <c r="G239">
        <v>16</v>
      </c>
      <c r="H239">
        <v>622</v>
      </c>
      <c r="I239">
        <v>9952</v>
      </c>
      <c r="J239" t="s">
        <v>62</v>
      </c>
      <c r="K239" t="s">
        <v>18</v>
      </c>
    </row>
    <row r="240" spans="1:11" x14ac:dyDescent="0.25">
      <c r="A240" t="s">
        <v>683</v>
      </c>
      <c r="B240" t="s">
        <v>98</v>
      </c>
      <c r="C240" t="s">
        <v>684</v>
      </c>
      <c r="D240" t="s">
        <v>22</v>
      </c>
      <c r="E240" t="s">
        <v>15</v>
      </c>
      <c r="F240" t="s">
        <v>16</v>
      </c>
      <c r="G240">
        <v>17</v>
      </c>
      <c r="H240">
        <v>219</v>
      </c>
      <c r="I240">
        <v>3723</v>
      </c>
      <c r="J240" t="s">
        <v>30</v>
      </c>
      <c r="K240" t="s">
        <v>77</v>
      </c>
    </row>
    <row r="241" spans="1:11" x14ac:dyDescent="0.25">
      <c r="A241" t="s">
        <v>685</v>
      </c>
      <c r="B241" t="s">
        <v>244</v>
      </c>
      <c r="C241" t="s">
        <v>686</v>
      </c>
      <c r="D241" t="s">
        <v>40</v>
      </c>
      <c r="E241" t="s">
        <v>34</v>
      </c>
      <c r="F241" t="s">
        <v>35</v>
      </c>
      <c r="G241">
        <v>6</v>
      </c>
      <c r="H241">
        <v>294</v>
      </c>
      <c r="I241">
        <v>1764</v>
      </c>
      <c r="J241" t="s">
        <v>36</v>
      </c>
      <c r="K241" t="s">
        <v>77</v>
      </c>
    </row>
    <row r="242" spans="1:11" x14ac:dyDescent="0.25">
      <c r="A242" t="s">
        <v>687</v>
      </c>
      <c r="B242" t="s">
        <v>489</v>
      </c>
      <c r="C242" t="s">
        <v>688</v>
      </c>
      <c r="D242" t="s">
        <v>46</v>
      </c>
      <c r="E242" t="s">
        <v>28</v>
      </c>
      <c r="F242" t="s">
        <v>41</v>
      </c>
      <c r="G242">
        <v>7</v>
      </c>
      <c r="H242">
        <v>754</v>
      </c>
      <c r="I242">
        <v>5278</v>
      </c>
      <c r="J242" t="s">
        <v>17</v>
      </c>
      <c r="K242" t="s">
        <v>42</v>
      </c>
    </row>
    <row r="243" spans="1:11" x14ac:dyDescent="0.25">
      <c r="A243" t="s">
        <v>689</v>
      </c>
      <c r="B243" t="s">
        <v>690</v>
      </c>
      <c r="C243" t="s">
        <v>691</v>
      </c>
      <c r="D243" t="s">
        <v>40</v>
      </c>
      <c r="E243" t="s">
        <v>57</v>
      </c>
      <c r="F243" t="s">
        <v>106</v>
      </c>
      <c r="G243">
        <v>8</v>
      </c>
      <c r="H243">
        <v>892</v>
      </c>
      <c r="I243">
        <v>7136</v>
      </c>
      <c r="J243" t="s">
        <v>62</v>
      </c>
      <c r="K243" t="s">
        <v>24</v>
      </c>
    </row>
    <row r="244" spans="1:11" x14ac:dyDescent="0.25">
      <c r="A244" t="s">
        <v>692</v>
      </c>
      <c r="B244" t="s">
        <v>693</v>
      </c>
      <c r="C244" t="s">
        <v>694</v>
      </c>
      <c r="D244" t="s">
        <v>14</v>
      </c>
      <c r="E244" t="s">
        <v>57</v>
      </c>
      <c r="F244" t="s">
        <v>135</v>
      </c>
      <c r="G244">
        <v>15</v>
      </c>
      <c r="H244">
        <v>1287</v>
      </c>
      <c r="I244">
        <v>19305</v>
      </c>
      <c r="J244" t="s">
        <v>36</v>
      </c>
      <c r="K244" t="s">
        <v>42</v>
      </c>
    </row>
    <row r="245" spans="1:11" x14ac:dyDescent="0.25">
      <c r="A245" t="s">
        <v>695</v>
      </c>
      <c r="B245" t="s">
        <v>696</v>
      </c>
      <c r="C245" t="s">
        <v>697</v>
      </c>
      <c r="D245" t="s">
        <v>14</v>
      </c>
      <c r="E245" t="s">
        <v>57</v>
      </c>
      <c r="F245" t="s">
        <v>58</v>
      </c>
      <c r="G245">
        <v>2</v>
      </c>
      <c r="H245">
        <v>109</v>
      </c>
      <c r="I245">
        <v>218</v>
      </c>
      <c r="J245" t="s">
        <v>30</v>
      </c>
      <c r="K245" t="s">
        <v>77</v>
      </c>
    </row>
    <row r="246" spans="1:11" x14ac:dyDescent="0.25">
      <c r="A246" t="s">
        <v>698</v>
      </c>
      <c r="B246" t="s">
        <v>253</v>
      </c>
      <c r="C246" t="s">
        <v>699</v>
      </c>
      <c r="D246" t="s">
        <v>46</v>
      </c>
      <c r="E246" t="s">
        <v>57</v>
      </c>
      <c r="F246" t="s">
        <v>58</v>
      </c>
      <c r="G246">
        <v>9</v>
      </c>
      <c r="H246">
        <v>1128</v>
      </c>
      <c r="I246">
        <v>10152</v>
      </c>
      <c r="J246" t="s">
        <v>17</v>
      </c>
      <c r="K246" t="s">
        <v>18</v>
      </c>
    </row>
    <row r="247" spans="1:11" x14ac:dyDescent="0.25">
      <c r="A247" t="s">
        <v>700</v>
      </c>
      <c r="B247" t="s">
        <v>411</v>
      </c>
      <c r="C247" t="s">
        <v>701</v>
      </c>
      <c r="D247" t="s">
        <v>22</v>
      </c>
      <c r="E247" t="s">
        <v>28</v>
      </c>
      <c r="F247" t="s">
        <v>119</v>
      </c>
      <c r="G247">
        <v>14</v>
      </c>
      <c r="H247">
        <v>1931</v>
      </c>
      <c r="I247">
        <v>27034</v>
      </c>
      <c r="J247" t="s">
        <v>62</v>
      </c>
      <c r="K247" t="s">
        <v>18</v>
      </c>
    </row>
    <row r="248" spans="1:11" x14ac:dyDescent="0.25">
      <c r="A248" t="s">
        <v>702</v>
      </c>
      <c r="B248" t="s">
        <v>703</v>
      </c>
      <c r="C248" t="s">
        <v>704</v>
      </c>
      <c r="D248" t="s">
        <v>46</v>
      </c>
      <c r="E248" t="s">
        <v>28</v>
      </c>
      <c r="F248" t="s">
        <v>52</v>
      </c>
      <c r="G248">
        <v>12</v>
      </c>
      <c r="H248">
        <v>729</v>
      </c>
      <c r="I248">
        <v>8748</v>
      </c>
      <c r="J248" t="s">
        <v>62</v>
      </c>
      <c r="K248" t="s">
        <v>24</v>
      </c>
    </row>
    <row r="249" spans="1:11" x14ac:dyDescent="0.25">
      <c r="A249" t="s">
        <v>705</v>
      </c>
      <c r="B249" t="s">
        <v>706</v>
      </c>
      <c r="C249" t="s">
        <v>707</v>
      </c>
      <c r="D249" t="s">
        <v>22</v>
      </c>
      <c r="E249" t="s">
        <v>57</v>
      </c>
      <c r="F249" t="s">
        <v>58</v>
      </c>
      <c r="G249">
        <v>12</v>
      </c>
      <c r="H249">
        <v>1616</v>
      </c>
      <c r="I249">
        <v>19392</v>
      </c>
      <c r="J249" t="s">
        <v>17</v>
      </c>
      <c r="K249" t="s">
        <v>48</v>
      </c>
    </row>
    <row r="250" spans="1:11" x14ac:dyDescent="0.25">
      <c r="A250" t="s">
        <v>708</v>
      </c>
      <c r="B250" t="s">
        <v>44</v>
      </c>
      <c r="C250" t="s">
        <v>709</v>
      </c>
      <c r="D250" t="s">
        <v>46</v>
      </c>
      <c r="E250" t="s">
        <v>15</v>
      </c>
      <c r="F250" t="s">
        <v>66</v>
      </c>
      <c r="G250">
        <v>13</v>
      </c>
      <c r="H250">
        <v>1414</v>
      </c>
      <c r="I250">
        <v>18382</v>
      </c>
      <c r="J250" t="s">
        <v>36</v>
      </c>
      <c r="K250" t="s">
        <v>70</v>
      </c>
    </row>
    <row r="251" spans="1:11" x14ac:dyDescent="0.25">
      <c r="A251" t="s">
        <v>710</v>
      </c>
      <c r="B251" t="s">
        <v>95</v>
      </c>
      <c r="C251" t="s">
        <v>711</v>
      </c>
      <c r="D251" t="s">
        <v>22</v>
      </c>
      <c r="E251" t="s">
        <v>34</v>
      </c>
      <c r="F251" t="s">
        <v>112</v>
      </c>
      <c r="G251">
        <v>17</v>
      </c>
      <c r="H251">
        <v>684</v>
      </c>
      <c r="I251">
        <v>11628</v>
      </c>
      <c r="J251" t="s">
        <v>62</v>
      </c>
      <c r="K251" t="s">
        <v>70</v>
      </c>
    </row>
    <row r="252" spans="1:11" x14ac:dyDescent="0.25">
      <c r="A252" t="s">
        <v>712</v>
      </c>
      <c r="B252" t="s">
        <v>713</v>
      </c>
      <c r="C252" t="s">
        <v>714</v>
      </c>
      <c r="D252" t="s">
        <v>40</v>
      </c>
      <c r="E252" t="s">
        <v>28</v>
      </c>
      <c r="F252" t="s">
        <v>29</v>
      </c>
      <c r="G252">
        <v>4</v>
      </c>
      <c r="H252">
        <v>642</v>
      </c>
      <c r="I252">
        <v>2568</v>
      </c>
      <c r="J252" t="s">
        <v>62</v>
      </c>
      <c r="K252" t="s">
        <v>48</v>
      </c>
    </row>
    <row r="253" spans="1:11" x14ac:dyDescent="0.25">
      <c r="A253" t="s">
        <v>715</v>
      </c>
      <c r="B253" t="s">
        <v>716</v>
      </c>
      <c r="C253" t="s">
        <v>717</v>
      </c>
      <c r="D253" t="s">
        <v>46</v>
      </c>
      <c r="E253" t="s">
        <v>57</v>
      </c>
      <c r="F253" t="s">
        <v>58</v>
      </c>
      <c r="G253">
        <v>15</v>
      </c>
      <c r="H253">
        <v>1139</v>
      </c>
      <c r="I253">
        <v>17085</v>
      </c>
      <c r="J253" t="s">
        <v>62</v>
      </c>
      <c r="K253" t="s">
        <v>18</v>
      </c>
    </row>
    <row r="254" spans="1:11" x14ac:dyDescent="0.25">
      <c r="A254" t="s">
        <v>718</v>
      </c>
      <c r="B254" t="s">
        <v>719</v>
      </c>
      <c r="C254" t="s">
        <v>720</v>
      </c>
      <c r="D254" t="s">
        <v>22</v>
      </c>
      <c r="E254" t="s">
        <v>57</v>
      </c>
      <c r="F254" t="s">
        <v>58</v>
      </c>
      <c r="G254">
        <v>12</v>
      </c>
      <c r="H254">
        <v>739</v>
      </c>
      <c r="I254">
        <v>8868</v>
      </c>
      <c r="J254" t="s">
        <v>36</v>
      </c>
      <c r="K254" t="s">
        <v>48</v>
      </c>
    </row>
    <row r="255" spans="1:11" x14ac:dyDescent="0.25">
      <c r="A255" t="s">
        <v>721</v>
      </c>
      <c r="B255" t="s">
        <v>722</v>
      </c>
      <c r="C255" t="s">
        <v>723</v>
      </c>
      <c r="D255" t="s">
        <v>46</v>
      </c>
      <c r="E255" t="s">
        <v>57</v>
      </c>
      <c r="F255" t="s">
        <v>139</v>
      </c>
      <c r="G255">
        <v>9</v>
      </c>
      <c r="H255">
        <v>489</v>
      </c>
      <c r="I255">
        <v>4401</v>
      </c>
      <c r="J255" t="s">
        <v>36</v>
      </c>
      <c r="K255" t="s">
        <v>53</v>
      </c>
    </row>
    <row r="256" spans="1:11" x14ac:dyDescent="0.25">
      <c r="A256" t="s">
        <v>724</v>
      </c>
      <c r="B256" t="s">
        <v>725</v>
      </c>
      <c r="C256" t="s">
        <v>726</v>
      </c>
      <c r="D256" t="s">
        <v>22</v>
      </c>
      <c r="E256" t="s">
        <v>15</v>
      </c>
      <c r="F256" t="s">
        <v>16</v>
      </c>
      <c r="G256">
        <v>12</v>
      </c>
      <c r="H256">
        <v>458</v>
      </c>
      <c r="I256">
        <v>5496</v>
      </c>
      <c r="J256" t="s">
        <v>36</v>
      </c>
      <c r="K256" t="s">
        <v>24</v>
      </c>
    </row>
    <row r="257" spans="1:11" x14ac:dyDescent="0.25">
      <c r="A257" t="s">
        <v>727</v>
      </c>
      <c r="B257" t="s">
        <v>561</v>
      </c>
      <c r="C257" t="s">
        <v>728</v>
      </c>
      <c r="D257" t="s">
        <v>22</v>
      </c>
      <c r="E257" t="s">
        <v>57</v>
      </c>
      <c r="F257" t="s">
        <v>135</v>
      </c>
      <c r="G257">
        <v>8</v>
      </c>
      <c r="H257">
        <v>106</v>
      </c>
      <c r="I257">
        <v>848</v>
      </c>
      <c r="J257" t="s">
        <v>36</v>
      </c>
      <c r="K257" t="s">
        <v>24</v>
      </c>
    </row>
    <row r="258" spans="1:11" x14ac:dyDescent="0.25">
      <c r="A258" t="s">
        <v>729</v>
      </c>
      <c r="B258" t="s">
        <v>275</v>
      </c>
      <c r="C258" t="s">
        <v>730</v>
      </c>
      <c r="D258" t="s">
        <v>14</v>
      </c>
      <c r="E258" t="s">
        <v>15</v>
      </c>
      <c r="F258" t="s">
        <v>16</v>
      </c>
      <c r="G258">
        <v>14</v>
      </c>
      <c r="H258">
        <v>477</v>
      </c>
      <c r="I258">
        <v>6678</v>
      </c>
      <c r="J258" t="s">
        <v>17</v>
      </c>
      <c r="K258" t="s">
        <v>42</v>
      </c>
    </row>
    <row r="259" spans="1:11" x14ac:dyDescent="0.25">
      <c r="A259" t="s">
        <v>731</v>
      </c>
      <c r="B259" t="s">
        <v>291</v>
      </c>
      <c r="C259" t="s">
        <v>732</v>
      </c>
      <c r="D259" t="s">
        <v>46</v>
      </c>
      <c r="E259" t="s">
        <v>57</v>
      </c>
      <c r="F259" t="s">
        <v>139</v>
      </c>
      <c r="G259">
        <v>1</v>
      </c>
      <c r="H259">
        <v>202</v>
      </c>
      <c r="I259">
        <v>202</v>
      </c>
      <c r="J259" t="s">
        <v>62</v>
      </c>
      <c r="K259" t="s">
        <v>53</v>
      </c>
    </row>
    <row r="260" spans="1:11" x14ac:dyDescent="0.25">
      <c r="A260" t="s">
        <v>733</v>
      </c>
      <c r="B260" t="s">
        <v>734</v>
      </c>
      <c r="C260" t="s">
        <v>735</v>
      </c>
      <c r="D260" t="s">
        <v>40</v>
      </c>
      <c r="E260" t="s">
        <v>28</v>
      </c>
      <c r="F260" t="s">
        <v>41</v>
      </c>
      <c r="G260">
        <v>6</v>
      </c>
      <c r="H260">
        <v>704</v>
      </c>
      <c r="I260">
        <v>4224</v>
      </c>
      <c r="J260" t="s">
        <v>30</v>
      </c>
      <c r="K260" t="s">
        <v>18</v>
      </c>
    </row>
    <row r="261" spans="1:11" x14ac:dyDescent="0.25">
      <c r="A261" t="s">
        <v>736</v>
      </c>
      <c r="B261" t="s">
        <v>232</v>
      </c>
      <c r="C261" t="s">
        <v>737</v>
      </c>
      <c r="D261" t="s">
        <v>46</v>
      </c>
      <c r="E261" t="s">
        <v>15</v>
      </c>
      <c r="F261" t="s">
        <v>16</v>
      </c>
      <c r="G261">
        <v>8</v>
      </c>
      <c r="H261">
        <v>892</v>
      </c>
      <c r="I261">
        <v>7136</v>
      </c>
      <c r="J261" t="s">
        <v>17</v>
      </c>
      <c r="K261" t="s">
        <v>18</v>
      </c>
    </row>
    <row r="262" spans="1:11" x14ac:dyDescent="0.25">
      <c r="A262" t="s">
        <v>738</v>
      </c>
      <c r="B262" t="s">
        <v>739</v>
      </c>
      <c r="C262" t="s">
        <v>740</v>
      </c>
      <c r="D262" t="s">
        <v>22</v>
      </c>
      <c r="E262" t="s">
        <v>34</v>
      </c>
      <c r="F262" t="s">
        <v>35</v>
      </c>
      <c r="G262">
        <v>15</v>
      </c>
      <c r="H262">
        <v>238</v>
      </c>
      <c r="I262">
        <v>3570</v>
      </c>
      <c r="J262" t="s">
        <v>30</v>
      </c>
      <c r="K262" t="s">
        <v>53</v>
      </c>
    </row>
    <row r="263" spans="1:11" x14ac:dyDescent="0.25">
      <c r="A263" t="s">
        <v>741</v>
      </c>
      <c r="B263" t="s">
        <v>391</v>
      </c>
      <c r="C263" t="s">
        <v>742</v>
      </c>
      <c r="D263" t="s">
        <v>40</v>
      </c>
      <c r="E263" t="s">
        <v>57</v>
      </c>
      <c r="F263" t="s">
        <v>139</v>
      </c>
      <c r="G263">
        <v>4</v>
      </c>
      <c r="H263">
        <v>157</v>
      </c>
      <c r="I263">
        <v>628</v>
      </c>
      <c r="J263" t="s">
        <v>17</v>
      </c>
      <c r="K263" t="s">
        <v>42</v>
      </c>
    </row>
    <row r="264" spans="1:11" x14ac:dyDescent="0.25">
      <c r="A264" t="s">
        <v>743</v>
      </c>
      <c r="B264" t="s">
        <v>79</v>
      </c>
      <c r="C264" t="s">
        <v>744</v>
      </c>
      <c r="D264" t="s">
        <v>40</v>
      </c>
      <c r="E264" t="s">
        <v>15</v>
      </c>
      <c r="F264" t="s">
        <v>154</v>
      </c>
      <c r="G264">
        <v>15</v>
      </c>
      <c r="H264">
        <v>1159</v>
      </c>
      <c r="I264">
        <v>17385</v>
      </c>
      <c r="J264" t="s">
        <v>36</v>
      </c>
      <c r="K264" t="s">
        <v>42</v>
      </c>
    </row>
    <row r="265" spans="1:11" x14ac:dyDescent="0.25">
      <c r="A265" t="s">
        <v>745</v>
      </c>
      <c r="B265" t="s">
        <v>746</v>
      </c>
      <c r="C265" t="s">
        <v>747</v>
      </c>
      <c r="D265" t="s">
        <v>46</v>
      </c>
      <c r="E265" t="s">
        <v>15</v>
      </c>
      <c r="F265" t="s">
        <v>16</v>
      </c>
      <c r="G265">
        <v>15</v>
      </c>
      <c r="H265">
        <v>1440</v>
      </c>
      <c r="I265">
        <v>21600</v>
      </c>
      <c r="J265" t="s">
        <v>62</v>
      </c>
      <c r="K265" t="s">
        <v>42</v>
      </c>
    </row>
    <row r="266" spans="1:11" x14ac:dyDescent="0.25">
      <c r="A266" t="s">
        <v>748</v>
      </c>
      <c r="B266" t="s">
        <v>749</v>
      </c>
      <c r="C266" t="s">
        <v>750</v>
      </c>
      <c r="D266" t="s">
        <v>22</v>
      </c>
      <c r="E266" t="s">
        <v>28</v>
      </c>
      <c r="F266" t="s">
        <v>29</v>
      </c>
      <c r="G266">
        <v>11</v>
      </c>
      <c r="H266">
        <v>1246</v>
      </c>
      <c r="I266">
        <v>13706</v>
      </c>
      <c r="J266" t="s">
        <v>17</v>
      </c>
      <c r="K266" t="s">
        <v>18</v>
      </c>
    </row>
    <row r="267" spans="1:11" x14ac:dyDescent="0.25">
      <c r="A267" t="s">
        <v>751</v>
      </c>
      <c r="B267" t="s">
        <v>752</v>
      </c>
      <c r="C267" t="s">
        <v>753</v>
      </c>
      <c r="D267" t="s">
        <v>14</v>
      </c>
      <c r="E267" t="s">
        <v>34</v>
      </c>
      <c r="F267" t="s">
        <v>35</v>
      </c>
      <c r="G267">
        <v>10</v>
      </c>
      <c r="H267">
        <v>1697</v>
      </c>
      <c r="I267">
        <v>16970</v>
      </c>
      <c r="J267" t="s">
        <v>62</v>
      </c>
      <c r="K267" t="s">
        <v>77</v>
      </c>
    </row>
    <row r="268" spans="1:11" x14ac:dyDescent="0.25">
      <c r="A268" t="s">
        <v>754</v>
      </c>
      <c r="B268" t="s">
        <v>755</v>
      </c>
      <c r="C268" t="s">
        <v>756</v>
      </c>
      <c r="D268" t="s">
        <v>22</v>
      </c>
      <c r="E268" t="s">
        <v>28</v>
      </c>
      <c r="F268" t="s">
        <v>119</v>
      </c>
      <c r="G268">
        <v>14</v>
      </c>
      <c r="H268">
        <v>1193</v>
      </c>
      <c r="I268">
        <v>16702</v>
      </c>
      <c r="J268" t="s">
        <v>36</v>
      </c>
      <c r="K268" t="s">
        <v>53</v>
      </c>
    </row>
    <row r="269" spans="1:11" x14ac:dyDescent="0.25">
      <c r="A269" t="s">
        <v>757</v>
      </c>
      <c r="B269" t="s">
        <v>758</v>
      </c>
      <c r="C269" t="s">
        <v>759</v>
      </c>
      <c r="D269" t="s">
        <v>22</v>
      </c>
      <c r="E269" t="s">
        <v>28</v>
      </c>
      <c r="F269" t="s">
        <v>52</v>
      </c>
      <c r="G269">
        <v>18</v>
      </c>
      <c r="H269">
        <v>652</v>
      </c>
      <c r="I269">
        <v>11736</v>
      </c>
      <c r="J269" t="s">
        <v>36</v>
      </c>
      <c r="K269" t="s">
        <v>70</v>
      </c>
    </row>
    <row r="270" spans="1:11" x14ac:dyDescent="0.25">
      <c r="A270" t="s">
        <v>760</v>
      </c>
      <c r="B270" t="s">
        <v>761</v>
      </c>
      <c r="C270" t="s">
        <v>762</v>
      </c>
      <c r="D270" t="s">
        <v>46</v>
      </c>
      <c r="E270" t="s">
        <v>15</v>
      </c>
      <c r="F270" t="s">
        <v>66</v>
      </c>
      <c r="G270">
        <v>18</v>
      </c>
      <c r="H270">
        <v>1569</v>
      </c>
      <c r="I270">
        <v>28242</v>
      </c>
      <c r="J270" t="s">
        <v>17</v>
      </c>
      <c r="K270" t="s">
        <v>42</v>
      </c>
    </row>
    <row r="271" spans="1:11" x14ac:dyDescent="0.25">
      <c r="A271" t="s">
        <v>763</v>
      </c>
      <c r="B271" t="s">
        <v>411</v>
      </c>
      <c r="C271" t="s">
        <v>764</v>
      </c>
      <c r="D271" t="s">
        <v>22</v>
      </c>
      <c r="E271" t="s">
        <v>57</v>
      </c>
      <c r="F271" t="s">
        <v>58</v>
      </c>
      <c r="G271">
        <v>6</v>
      </c>
      <c r="H271">
        <v>1828</v>
      </c>
      <c r="I271">
        <v>10968</v>
      </c>
      <c r="J271" t="s">
        <v>17</v>
      </c>
      <c r="K271" t="s">
        <v>77</v>
      </c>
    </row>
    <row r="272" spans="1:11" x14ac:dyDescent="0.25">
      <c r="A272" t="s">
        <v>765</v>
      </c>
      <c r="B272" t="s">
        <v>382</v>
      </c>
      <c r="C272" t="s">
        <v>766</v>
      </c>
      <c r="D272" t="s">
        <v>40</v>
      </c>
      <c r="E272" t="s">
        <v>15</v>
      </c>
      <c r="F272" t="s">
        <v>66</v>
      </c>
      <c r="G272">
        <v>20</v>
      </c>
      <c r="H272">
        <v>711</v>
      </c>
      <c r="I272">
        <v>14220</v>
      </c>
      <c r="J272" t="s">
        <v>62</v>
      </c>
      <c r="K272" t="s">
        <v>48</v>
      </c>
    </row>
    <row r="273" spans="1:11" x14ac:dyDescent="0.25">
      <c r="A273" t="s">
        <v>767</v>
      </c>
      <c r="B273" t="s">
        <v>768</v>
      </c>
      <c r="C273" t="s">
        <v>769</v>
      </c>
      <c r="D273" t="s">
        <v>46</v>
      </c>
      <c r="E273" t="s">
        <v>57</v>
      </c>
      <c r="F273" t="s">
        <v>139</v>
      </c>
      <c r="G273">
        <v>17</v>
      </c>
      <c r="H273">
        <v>215</v>
      </c>
      <c r="I273">
        <v>3655</v>
      </c>
      <c r="J273" t="s">
        <v>30</v>
      </c>
      <c r="K273" t="s">
        <v>70</v>
      </c>
    </row>
    <row r="274" spans="1:11" x14ac:dyDescent="0.25">
      <c r="A274" t="s">
        <v>770</v>
      </c>
      <c r="B274" t="s">
        <v>149</v>
      </c>
      <c r="C274" t="s">
        <v>771</v>
      </c>
      <c r="D274" t="s">
        <v>22</v>
      </c>
      <c r="E274" t="s">
        <v>57</v>
      </c>
      <c r="F274" t="s">
        <v>135</v>
      </c>
      <c r="G274">
        <v>12</v>
      </c>
      <c r="H274">
        <v>436</v>
      </c>
      <c r="I274">
        <v>5232</v>
      </c>
      <c r="J274" t="s">
        <v>17</v>
      </c>
      <c r="K274" t="s">
        <v>42</v>
      </c>
    </row>
    <row r="275" spans="1:11" x14ac:dyDescent="0.25">
      <c r="A275" t="s">
        <v>772</v>
      </c>
      <c r="B275" t="s">
        <v>773</v>
      </c>
      <c r="C275" t="s">
        <v>774</v>
      </c>
      <c r="D275" t="s">
        <v>22</v>
      </c>
      <c r="E275" t="s">
        <v>57</v>
      </c>
      <c r="F275" t="s">
        <v>139</v>
      </c>
      <c r="G275">
        <v>11</v>
      </c>
      <c r="H275">
        <v>815</v>
      </c>
      <c r="I275">
        <v>8965</v>
      </c>
      <c r="J275" t="s">
        <v>62</v>
      </c>
      <c r="K275" t="s">
        <v>24</v>
      </c>
    </row>
    <row r="276" spans="1:11" x14ac:dyDescent="0.25">
      <c r="A276" t="s">
        <v>775</v>
      </c>
      <c r="B276" t="s">
        <v>776</v>
      </c>
      <c r="C276" t="s">
        <v>777</v>
      </c>
      <c r="D276" t="s">
        <v>40</v>
      </c>
      <c r="E276" t="s">
        <v>28</v>
      </c>
      <c r="F276" t="s">
        <v>119</v>
      </c>
      <c r="G276">
        <v>10</v>
      </c>
      <c r="H276">
        <v>533</v>
      </c>
      <c r="I276">
        <v>5330</v>
      </c>
      <c r="J276" t="s">
        <v>30</v>
      </c>
      <c r="K276" t="s">
        <v>70</v>
      </c>
    </row>
    <row r="277" spans="1:11" x14ac:dyDescent="0.25">
      <c r="A277" t="s">
        <v>778</v>
      </c>
      <c r="B277" t="s">
        <v>388</v>
      </c>
      <c r="C277" t="s">
        <v>779</v>
      </c>
      <c r="D277" t="s">
        <v>40</v>
      </c>
      <c r="E277" t="s">
        <v>57</v>
      </c>
      <c r="F277" t="s">
        <v>139</v>
      </c>
      <c r="G277">
        <v>11</v>
      </c>
      <c r="H277">
        <v>807</v>
      </c>
      <c r="I277">
        <v>8877</v>
      </c>
      <c r="J277" t="s">
        <v>36</v>
      </c>
      <c r="K277" t="s">
        <v>53</v>
      </c>
    </row>
    <row r="278" spans="1:11" x14ac:dyDescent="0.25">
      <c r="A278" t="s">
        <v>780</v>
      </c>
      <c r="B278" t="s">
        <v>781</v>
      </c>
      <c r="C278" t="s">
        <v>782</v>
      </c>
      <c r="D278" t="s">
        <v>14</v>
      </c>
      <c r="E278" t="s">
        <v>15</v>
      </c>
      <c r="F278" t="s">
        <v>23</v>
      </c>
      <c r="G278">
        <v>6</v>
      </c>
      <c r="H278">
        <v>1699</v>
      </c>
      <c r="I278">
        <v>10194</v>
      </c>
      <c r="J278" t="s">
        <v>30</v>
      </c>
      <c r="K278" t="s">
        <v>70</v>
      </c>
    </row>
    <row r="279" spans="1:11" x14ac:dyDescent="0.25">
      <c r="A279" t="s">
        <v>783</v>
      </c>
      <c r="B279" t="s">
        <v>784</v>
      </c>
      <c r="C279" t="s">
        <v>785</v>
      </c>
      <c r="D279" t="s">
        <v>14</v>
      </c>
      <c r="E279" t="s">
        <v>57</v>
      </c>
      <c r="F279" t="s">
        <v>106</v>
      </c>
      <c r="G279">
        <v>17</v>
      </c>
      <c r="H279">
        <v>309</v>
      </c>
      <c r="I279">
        <v>5253</v>
      </c>
      <c r="J279" t="s">
        <v>17</v>
      </c>
      <c r="K279" t="s">
        <v>53</v>
      </c>
    </row>
    <row r="280" spans="1:11" x14ac:dyDescent="0.25">
      <c r="A280" t="s">
        <v>786</v>
      </c>
      <c r="B280" t="s">
        <v>267</v>
      </c>
      <c r="C280" t="s">
        <v>787</v>
      </c>
      <c r="D280" t="s">
        <v>22</v>
      </c>
      <c r="E280" t="s">
        <v>28</v>
      </c>
      <c r="F280" t="s">
        <v>119</v>
      </c>
      <c r="G280">
        <v>19</v>
      </c>
      <c r="H280">
        <v>1963</v>
      </c>
      <c r="I280">
        <v>37297</v>
      </c>
      <c r="J280" t="s">
        <v>36</v>
      </c>
      <c r="K280" t="s">
        <v>18</v>
      </c>
    </row>
    <row r="281" spans="1:11" x14ac:dyDescent="0.25">
      <c r="A281" t="s">
        <v>788</v>
      </c>
      <c r="B281" t="s">
        <v>89</v>
      </c>
      <c r="C281" t="s">
        <v>789</v>
      </c>
      <c r="D281" t="s">
        <v>40</v>
      </c>
      <c r="E281" t="s">
        <v>15</v>
      </c>
      <c r="F281" t="s">
        <v>16</v>
      </c>
      <c r="G281">
        <v>8</v>
      </c>
      <c r="H281">
        <v>1077</v>
      </c>
      <c r="I281">
        <v>8616</v>
      </c>
      <c r="J281" t="s">
        <v>62</v>
      </c>
      <c r="K281" t="s">
        <v>48</v>
      </c>
    </row>
    <row r="282" spans="1:11" x14ac:dyDescent="0.25">
      <c r="A282" t="s">
        <v>790</v>
      </c>
      <c r="B282" t="s">
        <v>272</v>
      </c>
      <c r="C282" t="s">
        <v>791</v>
      </c>
      <c r="D282" t="s">
        <v>14</v>
      </c>
      <c r="E282" t="s">
        <v>34</v>
      </c>
      <c r="F282" t="s">
        <v>112</v>
      </c>
      <c r="G282">
        <v>18</v>
      </c>
      <c r="H282">
        <v>669</v>
      </c>
      <c r="I282">
        <v>12042</v>
      </c>
      <c r="J282" t="s">
        <v>30</v>
      </c>
      <c r="K282" t="s">
        <v>53</v>
      </c>
    </row>
    <row r="283" spans="1:11" x14ac:dyDescent="0.25">
      <c r="A283" t="s">
        <v>792</v>
      </c>
      <c r="B283" t="s">
        <v>361</v>
      </c>
      <c r="C283" t="s">
        <v>793</v>
      </c>
      <c r="D283" t="s">
        <v>40</v>
      </c>
      <c r="E283" t="s">
        <v>57</v>
      </c>
      <c r="F283" t="s">
        <v>106</v>
      </c>
      <c r="G283">
        <v>11</v>
      </c>
      <c r="H283">
        <v>1673</v>
      </c>
      <c r="I283">
        <v>18403</v>
      </c>
      <c r="J283" t="s">
        <v>36</v>
      </c>
      <c r="K283" t="s">
        <v>48</v>
      </c>
    </row>
    <row r="284" spans="1:11" x14ac:dyDescent="0.25">
      <c r="A284" t="s">
        <v>794</v>
      </c>
      <c r="B284" t="s">
        <v>152</v>
      </c>
      <c r="C284" t="s">
        <v>795</v>
      </c>
      <c r="D284" t="s">
        <v>14</v>
      </c>
      <c r="E284" t="s">
        <v>15</v>
      </c>
      <c r="F284" t="s">
        <v>23</v>
      </c>
      <c r="G284">
        <v>18</v>
      </c>
      <c r="H284">
        <v>388</v>
      </c>
      <c r="I284">
        <v>6984</v>
      </c>
      <c r="J284" t="s">
        <v>36</v>
      </c>
      <c r="K284" t="s">
        <v>18</v>
      </c>
    </row>
    <row r="285" spans="1:11" x14ac:dyDescent="0.25">
      <c r="A285" t="s">
        <v>796</v>
      </c>
      <c r="B285" t="s">
        <v>165</v>
      </c>
      <c r="C285" t="s">
        <v>797</v>
      </c>
      <c r="D285" t="s">
        <v>46</v>
      </c>
      <c r="E285" t="s">
        <v>28</v>
      </c>
      <c r="F285" t="s">
        <v>41</v>
      </c>
      <c r="G285">
        <v>18</v>
      </c>
      <c r="H285">
        <v>937</v>
      </c>
      <c r="I285">
        <v>16866</v>
      </c>
      <c r="J285" t="s">
        <v>30</v>
      </c>
      <c r="K285" t="s">
        <v>48</v>
      </c>
    </row>
    <row r="286" spans="1:11" x14ac:dyDescent="0.25">
      <c r="A286" t="s">
        <v>798</v>
      </c>
      <c r="B286" t="s">
        <v>696</v>
      </c>
      <c r="C286" t="s">
        <v>799</v>
      </c>
      <c r="D286" t="s">
        <v>40</v>
      </c>
      <c r="E286" t="s">
        <v>34</v>
      </c>
      <c r="F286" t="s">
        <v>35</v>
      </c>
      <c r="G286">
        <v>4</v>
      </c>
      <c r="H286">
        <v>430</v>
      </c>
      <c r="I286">
        <v>1720</v>
      </c>
      <c r="J286" t="s">
        <v>17</v>
      </c>
      <c r="K286" t="s">
        <v>77</v>
      </c>
    </row>
    <row r="287" spans="1:11" x14ac:dyDescent="0.25">
      <c r="A287" t="s">
        <v>800</v>
      </c>
      <c r="B287" t="s">
        <v>489</v>
      </c>
      <c r="C287" t="s">
        <v>801</v>
      </c>
      <c r="D287" t="s">
        <v>22</v>
      </c>
      <c r="E287" t="s">
        <v>28</v>
      </c>
      <c r="F287" t="s">
        <v>52</v>
      </c>
      <c r="G287">
        <v>12</v>
      </c>
      <c r="H287">
        <v>1251</v>
      </c>
      <c r="I287">
        <v>15012</v>
      </c>
      <c r="J287" t="s">
        <v>62</v>
      </c>
      <c r="K287" t="s">
        <v>77</v>
      </c>
    </row>
    <row r="288" spans="1:11" x14ac:dyDescent="0.25">
      <c r="A288" t="s">
        <v>802</v>
      </c>
      <c r="B288" t="s">
        <v>133</v>
      </c>
      <c r="C288" t="s">
        <v>803</v>
      </c>
      <c r="D288" t="s">
        <v>14</v>
      </c>
      <c r="E288" t="s">
        <v>34</v>
      </c>
      <c r="F288" t="s">
        <v>35</v>
      </c>
      <c r="G288">
        <v>7</v>
      </c>
      <c r="H288">
        <v>181</v>
      </c>
      <c r="I288">
        <v>1267</v>
      </c>
      <c r="J288" t="s">
        <v>36</v>
      </c>
      <c r="K288" t="s">
        <v>24</v>
      </c>
    </row>
    <row r="289" spans="1:11" x14ac:dyDescent="0.25">
      <c r="A289" t="s">
        <v>804</v>
      </c>
      <c r="B289" t="s">
        <v>537</v>
      </c>
      <c r="C289" t="s">
        <v>805</v>
      </c>
      <c r="D289" t="s">
        <v>14</v>
      </c>
      <c r="E289" t="s">
        <v>15</v>
      </c>
      <c r="F289" t="s">
        <v>23</v>
      </c>
      <c r="G289">
        <v>13</v>
      </c>
      <c r="H289">
        <v>985</v>
      </c>
      <c r="I289">
        <v>12805</v>
      </c>
      <c r="J289" t="s">
        <v>30</v>
      </c>
      <c r="K289" t="s">
        <v>42</v>
      </c>
    </row>
    <row r="290" spans="1:11" x14ac:dyDescent="0.25">
      <c r="A290" t="s">
        <v>806</v>
      </c>
      <c r="B290" t="s">
        <v>439</v>
      </c>
      <c r="C290" t="s">
        <v>807</v>
      </c>
      <c r="D290" t="s">
        <v>22</v>
      </c>
      <c r="E290" t="s">
        <v>15</v>
      </c>
      <c r="F290" t="s">
        <v>154</v>
      </c>
      <c r="G290">
        <v>5</v>
      </c>
      <c r="H290">
        <v>1117</v>
      </c>
      <c r="I290">
        <v>5585</v>
      </c>
      <c r="J290" t="s">
        <v>17</v>
      </c>
      <c r="K290" t="s">
        <v>53</v>
      </c>
    </row>
    <row r="291" spans="1:11" x14ac:dyDescent="0.25">
      <c r="A291" t="s">
        <v>808</v>
      </c>
      <c r="B291" t="s">
        <v>809</v>
      </c>
      <c r="C291" t="s">
        <v>810</v>
      </c>
      <c r="D291" t="s">
        <v>46</v>
      </c>
      <c r="E291" t="s">
        <v>57</v>
      </c>
      <c r="F291" t="s">
        <v>106</v>
      </c>
      <c r="G291">
        <v>16</v>
      </c>
      <c r="H291">
        <v>393</v>
      </c>
      <c r="I291">
        <v>6288</v>
      </c>
      <c r="J291" t="s">
        <v>36</v>
      </c>
      <c r="K291" t="s">
        <v>48</v>
      </c>
    </row>
    <row r="292" spans="1:11" x14ac:dyDescent="0.25">
      <c r="A292" t="s">
        <v>811</v>
      </c>
      <c r="B292" t="s">
        <v>38</v>
      </c>
      <c r="C292" t="s">
        <v>812</v>
      </c>
      <c r="D292" t="s">
        <v>22</v>
      </c>
      <c r="E292" t="s">
        <v>57</v>
      </c>
      <c r="F292" t="s">
        <v>135</v>
      </c>
      <c r="G292">
        <v>6</v>
      </c>
      <c r="H292">
        <v>1534</v>
      </c>
      <c r="I292">
        <v>9204</v>
      </c>
      <c r="J292" t="s">
        <v>30</v>
      </c>
      <c r="K292" t="s">
        <v>53</v>
      </c>
    </row>
    <row r="293" spans="1:11" x14ac:dyDescent="0.25">
      <c r="A293" t="s">
        <v>813</v>
      </c>
      <c r="B293" t="s">
        <v>814</v>
      </c>
      <c r="C293" t="s">
        <v>815</v>
      </c>
      <c r="D293" t="s">
        <v>40</v>
      </c>
      <c r="E293" t="s">
        <v>28</v>
      </c>
      <c r="F293" t="s">
        <v>41</v>
      </c>
      <c r="G293">
        <v>5</v>
      </c>
      <c r="H293">
        <v>1607</v>
      </c>
      <c r="I293">
        <v>8035</v>
      </c>
      <c r="J293" t="s">
        <v>17</v>
      </c>
      <c r="K293" t="s">
        <v>18</v>
      </c>
    </row>
    <row r="294" spans="1:11" x14ac:dyDescent="0.25">
      <c r="A294" t="s">
        <v>816</v>
      </c>
      <c r="B294" t="s">
        <v>817</v>
      </c>
      <c r="C294" t="s">
        <v>818</v>
      </c>
      <c r="D294" t="s">
        <v>14</v>
      </c>
      <c r="E294" t="s">
        <v>34</v>
      </c>
      <c r="F294" t="s">
        <v>47</v>
      </c>
      <c r="G294">
        <v>4</v>
      </c>
      <c r="H294">
        <v>1762</v>
      </c>
      <c r="I294">
        <v>7048</v>
      </c>
      <c r="J294" t="s">
        <v>30</v>
      </c>
      <c r="K294" t="s">
        <v>48</v>
      </c>
    </row>
    <row r="295" spans="1:11" x14ac:dyDescent="0.25">
      <c r="A295" t="s">
        <v>819</v>
      </c>
      <c r="B295" t="s">
        <v>253</v>
      </c>
      <c r="C295" t="s">
        <v>820</v>
      </c>
      <c r="D295" t="s">
        <v>22</v>
      </c>
      <c r="E295" t="s">
        <v>34</v>
      </c>
      <c r="F295" t="s">
        <v>47</v>
      </c>
      <c r="G295">
        <v>10</v>
      </c>
      <c r="H295">
        <v>325</v>
      </c>
      <c r="I295">
        <v>3250</v>
      </c>
      <c r="J295" t="s">
        <v>17</v>
      </c>
      <c r="K295" t="s">
        <v>18</v>
      </c>
    </row>
    <row r="296" spans="1:11" x14ac:dyDescent="0.25">
      <c r="A296" t="s">
        <v>821</v>
      </c>
      <c r="B296" t="s">
        <v>238</v>
      </c>
      <c r="C296" t="s">
        <v>822</v>
      </c>
      <c r="D296" t="s">
        <v>40</v>
      </c>
      <c r="E296" t="s">
        <v>15</v>
      </c>
      <c r="F296" t="s">
        <v>154</v>
      </c>
      <c r="G296">
        <v>18</v>
      </c>
      <c r="H296">
        <v>120</v>
      </c>
      <c r="I296">
        <v>2160</v>
      </c>
      <c r="J296" t="s">
        <v>62</v>
      </c>
      <c r="K296" t="s">
        <v>53</v>
      </c>
    </row>
    <row r="297" spans="1:11" x14ac:dyDescent="0.25">
      <c r="A297" t="s">
        <v>823</v>
      </c>
      <c r="B297" t="s">
        <v>376</v>
      </c>
      <c r="C297" t="s">
        <v>824</v>
      </c>
      <c r="D297" t="s">
        <v>22</v>
      </c>
      <c r="E297" t="s">
        <v>15</v>
      </c>
      <c r="F297" t="s">
        <v>16</v>
      </c>
      <c r="G297">
        <v>16</v>
      </c>
      <c r="H297">
        <v>1088</v>
      </c>
      <c r="I297">
        <v>17408</v>
      </c>
      <c r="J297" t="s">
        <v>62</v>
      </c>
      <c r="K297" t="s">
        <v>42</v>
      </c>
    </row>
    <row r="298" spans="1:11" x14ac:dyDescent="0.25">
      <c r="A298" t="s">
        <v>825</v>
      </c>
      <c r="B298" t="s">
        <v>696</v>
      </c>
      <c r="C298" t="s">
        <v>826</v>
      </c>
      <c r="D298" t="s">
        <v>22</v>
      </c>
      <c r="E298" t="s">
        <v>15</v>
      </c>
      <c r="F298" t="s">
        <v>66</v>
      </c>
      <c r="G298">
        <v>6</v>
      </c>
      <c r="H298">
        <v>500</v>
      </c>
      <c r="I298">
        <v>3000</v>
      </c>
      <c r="J298" t="s">
        <v>17</v>
      </c>
      <c r="K298" t="s">
        <v>18</v>
      </c>
    </row>
    <row r="299" spans="1:11" x14ac:dyDescent="0.25">
      <c r="A299" t="s">
        <v>827</v>
      </c>
      <c r="B299" t="s">
        <v>814</v>
      </c>
      <c r="C299" t="s">
        <v>828</v>
      </c>
      <c r="D299" t="s">
        <v>14</v>
      </c>
      <c r="E299" t="s">
        <v>15</v>
      </c>
      <c r="F299" t="s">
        <v>23</v>
      </c>
      <c r="G299">
        <v>2</v>
      </c>
      <c r="H299">
        <v>258</v>
      </c>
      <c r="I299">
        <v>516</v>
      </c>
      <c r="J299" t="s">
        <v>62</v>
      </c>
      <c r="K299" t="s">
        <v>77</v>
      </c>
    </row>
    <row r="300" spans="1:11" x14ac:dyDescent="0.25">
      <c r="A300" t="s">
        <v>829</v>
      </c>
      <c r="B300" t="s">
        <v>189</v>
      </c>
      <c r="C300" t="s">
        <v>830</v>
      </c>
      <c r="D300" t="s">
        <v>40</v>
      </c>
      <c r="E300" t="s">
        <v>57</v>
      </c>
      <c r="F300" t="s">
        <v>58</v>
      </c>
      <c r="G300">
        <v>17</v>
      </c>
      <c r="H300">
        <v>1044</v>
      </c>
      <c r="I300">
        <v>17748</v>
      </c>
      <c r="J300" t="s">
        <v>30</v>
      </c>
      <c r="K300" t="s">
        <v>18</v>
      </c>
    </row>
    <row r="301" spans="1:11" x14ac:dyDescent="0.25">
      <c r="A301" t="s">
        <v>831</v>
      </c>
      <c r="B301" t="s">
        <v>832</v>
      </c>
      <c r="C301" t="s">
        <v>833</v>
      </c>
      <c r="D301" t="s">
        <v>14</v>
      </c>
      <c r="E301" t="s">
        <v>28</v>
      </c>
      <c r="F301" t="s">
        <v>119</v>
      </c>
      <c r="G301">
        <v>3</v>
      </c>
      <c r="H301">
        <v>1002</v>
      </c>
      <c r="I301">
        <v>3006</v>
      </c>
      <c r="J301" t="s">
        <v>30</v>
      </c>
      <c r="K301" t="s">
        <v>53</v>
      </c>
    </row>
    <row r="302" spans="1:11" x14ac:dyDescent="0.25">
      <c r="A302" t="s">
        <v>834</v>
      </c>
      <c r="B302" t="s">
        <v>835</v>
      </c>
      <c r="C302" t="s">
        <v>836</v>
      </c>
      <c r="D302" t="s">
        <v>22</v>
      </c>
      <c r="E302" t="s">
        <v>28</v>
      </c>
      <c r="F302" t="s">
        <v>119</v>
      </c>
      <c r="G302">
        <v>3</v>
      </c>
      <c r="H302">
        <v>1850</v>
      </c>
      <c r="I302">
        <v>5550</v>
      </c>
      <c r="J302" t="s">
        <v>30</v>
      </c>
      <c r="K302" t="s">
        <v>70</v>
      </c>
    </row>
    <row r="303" spans="1:11" x14ac:dyDescent="0.25">
      <c r="A303" t="s">
        <v>837</v>
      </c>
      <c r="B303" t="s">
        <v>838</v>
      </c>
      <c r="C303" t="s">
        <v>839</v>
      </c>
      <c r="D303" t="s">
        <v>40</v>
      </c>
      <c r="E303" t="s">
        <v>15</v>
      </c>
      <c r="F303" t="s">
        <v>154</v>
      </c>
      <c r="G303">
        <v>16</v>
      </c>
      <c r="H303">
        <v>1661</v>
      </c>
      <c r="I303">
        <v>26576</v>
      </c>
      <c r="J303" t="s">
        <v>30</v>
      </c>
      <c r="K303" t="s">
        <v>18</v>
      </c>
    </row>
    <row r="304" spans="1:11" x14ac:dyDescent="0.25">
      <c r="A304" t="s">
        <v>840</v>
      </c>
      <c r="B304" t="s">
        <v>414</v>
      </c>
      <c r="C304" t="s">
        <v>841</v>
      </c>
      <c r="D304" t="s">
        <v>22</v>
      </c>
      <c r="E304" t="s">
        <v>34</v>
      </c>
      <c r="F304" t="s">
        <v>84</v>
      </c>
      <c r="G304">
        <v>7</v>
      </c>
      <c r="H304">
        <v>1819</v>
      </c>
      <c r="I304">
        <v>12733</v>
      </c>
      <c r="J304" t="s">
        <v>17</v>
      </c>
      <c r="K304" t="s">
        <v>53</v>
      </c>
    </row>
    <row r="305" spans="1:11" x14ac:dyDescent="0.25">
      <c r="A305" t="s">
        <v>842</v>
      </c>
      <c r="B305" t="s">
        <v>137</v>
      </c>
      <c r="C305" t="s">
        <v>843</v>
      </c>
      <c r="D305" t="s">
        <v>46</v>
      </c>
      <c r="E305" t="s">
        <v>28</v>
      </c>
      <c r="F305" t="s">
        <v>41</v>
      </c>
      <c r="G305">
        <v>13</v>
      </c>
      <c r="H305">
        <v>1247</v>
      </c>
      <c r="I305">
        <v>16211</v>
      </c>
      <c r="J305" t="s">
        <v>17</v>
      </c>
      <c r="K305" t="s">
        <v>48</v>
      </c>
    </row>
    <row r="306" spans="1:11" x14ac:dyDescent="0.25">
      <c r="A306" t="s">
        <v>844</v>
      </c>
      <c r="B306" t="s">
        <v>845</v>
      </c>
      <c r="C306" t="s">
        <v>846</v>
      </c>
      <c r="D306" t="s">
        <v>14</v>
      </c>
      <c r="E306" t="s">
        <v>34</v>
      </c>
      <c r="F306" t="s">
        <v>84</v>
      </c>
      <c r="G306">
        <v>20</v>
      </c>
      <c r="H306">
        <v>992</v>
      </c>
      <c r="I306">
        <v>19840</v>
      </c>
      <c r="J306" t="s">
        <v>62</v>
      </c>
      <c r="K306" t="s">
        <v>48</v>
      </c>
    </row>
    <row r="307" spans="1:11" x14ac:dyDescent="0.25">
      <c r="A307" t="s">
        <v>847</v>
      </c>
      <c r="B307" t="s">
        <v>739</v>
      </c>
      <c r="C307" t="s">
        <v>848</v>
      </c>
      <c r="D307" t="s">
        <v>22</v>
      </c>
      <c r="E307" t="s">
        <v>15</v>
      </c>
      <c r="F307" t="s">
        <v>16</v>
      </c>
      <c r="G307">
        <v>1</v>
      </c>
      <c r="H307">
        <v>458</v>
      </c>
      <c r="I307">
        <v>458</v>
      </c>
      <c r="J307" t="s">
        <v>17</v>
      </c>
      <c r="K307" t="s">
        <v>42</v>
      </c>
    </row>
    <row r="308" spans="1:11" x14ac:dyDescent="0.25">
      <c r="A308" t="s">
        <v>849</v>
      </c>
      <c r="B308" t="s">
        <v>220</v>
      </c>
      <c r="C308" t="s">
        <v>850</v>
      </c>
      <c r="D308" t="s">
        <v>40</v>
      </c>
      <c r="E308" t="s">
        <v>34</v>
      </c>
      <c r="F308" t="s">
        <v>35</v>
      </c>
      <c r="G308">
        <v>13</v>
      </c>
      <c r="H308">
        <v>847</v>
      </c>
      <c r="I308">
        <v>11011</v>
      </c>
      <c r="J308" t="s">
        <v>62</v>
      </c>
      <c r="K308" t="s">
        <v>42</v>
      </c>
    </row>
    <row r="309" spans="1:11" x14ac:dyDescent="0.25">
      <c r="A309" t="s">
        <v>851</v>
      </c>
      <c r="B309" t="s">
        <v>852</v>
      </c>
      <c r="C309" t="s">
        <v>853</v>
      </c>
      <c r="D309" t="s">
        <v>40</v>
      </c>
      <c r="E309" t="s">
        <v>57</v>
      </c>
      <c r="F309" t="s">
        <v>58</v>
      </c>
      <c r="G309">
        <v>17</v>
      </c>
      <c r="H309">
        <v>1667</v>
      </c>
      <c r="I309">
        <v>28339</v>
      </c>
      <c r="J309" t="s">
        <v>30</v>
      </c>
      <c r="K309" t="s">
        <v>18</v>
      </c>
    </row>
    <row r="310" spans="1:11" x14ac:dyDescent="0.25">
      <c r="A310" t="s">
        <v>854</v>
      </c>
      <c r="B310" t="s">
        <v>44</v>
      </c>
      <c r="C310" t="s">
        <v>855</v>
      </c>
      <c r="D310" t="s">
        <v>40</v>
      </c>
      <c r="E310" t="s">
        <v>57</v>
      </c>
      <c r="F310" t="s">
        <v>139</v>
      </c>
      <c r="G310">
        <v>13</v>
      </c>
      <c r="H310">
        <v>1803</v>
      </c>
      <c r="I310">
        <v>23439</v>
      </c>
      <c r="J310" t="s">
        <v>17</v>
      </c>
      <c r="K310" t="s">
        <v>77</v>
      </c>
    </row>
    <row r="311" spans="1:11" x14ac:dyDescent="0.25">
      <c r="A311" t="s">
        <v>856</v>
      </c>
      <c r="B311" t="s">
        <v>299</v>
      </c>
      <c r="C311" t="s">
        <v>857</v>
      </c>
      <c r="D311" t="s">
        <v>22</v>
      </c>
      <c r="E311" t="s">
        <v>15</v>
      </c>
      <c r="F311" t="s">
        <v>66</v>
      </c>
      <c r="G311">
        <v>10</v>
      </c>
      <c r="H311">
        <v>1709</v>
      </c>
      <c r="I311">
        <v>17090</v>
      </c>
      <c r="J311" t="s">
        <v>62</v>
      </c>
      <c r="K311" t="s">
        <v>18</v>
      </c>
    </row>
    <row r="312" spans="1:11" x14ac:dyDescent="0.25">
      <c r="A312" t="s">
        <v>858</v>
      </c>
      <c r="B312" t="s">
        <v>267</v>
      </c>
      <c r="C312" t="s">
        <v>859</v>
      </c>
      <c r="D312" t="s">
        <v>40</v>
      </c>
      <c r="E312" t="s">
        <v>28</v>
      </c>
      <c r="F312" t="s">
        <v>52</v>
      </c>
      <c r="G312">
        <v>12</v>
      </c>
      <c r="H312">
        <v>1527</v>
      </c>
      <c r="I312">
        <v>18324</v>
      </c>
      <c r="J312" t="s">
        <v>62</v>
      </c>
      <c r="K312" t="s">
        <v>70</v>
      </c>
    </row>
    <row r="313" spans="1:11" x14ac:dyDescent="0.25">
      <c r="A313" t="s">
        <v>860</v>
      </c>
      <c r="B313" t="s">
        <v>861</v>
      </c>
      <c r="C313" t="s">
        <v>862</v>
      </c>
      <c r="D313" t="s">
        <v>22</v>
      </c>
      <c r="E313" t="s">
        <v>15</v>
      </c>
      <c r="F313" t="s">
        <v>23</v>
      </c>
      <c r="G313">
        <v>20</v>
      </c>
      <c r="H313">
        <v>100</v>
      </c>
      <c r="I313">
        <v>2000</v>
      </c>
      <c r="J313" t="s">
        <v>30</v>
      </c>
      <c r="K313" t="s">
        <v>77</v>
      </c>
    </row>
    <row r="314" spans="1:11" x14ac:dyDescent="0.25">
      <c r="A314" t="s">
        <v>863</v>
      </c>
      <c r="B314" t="s">
        <v>864</v>
      </c>
      <c r="C314" t="s">
        <v>865</v>
      </c>
      <c r="D314" t="s">
        <v>46</v>
      </c>
      <c r="E314" t="s">
        <v>34</v>
      </c>
      <c r="F314" t="s">
        <v>47</v>
      </c>
      <c r="G314">
        <v>12</v>
      </c>
      <c r="H314">
        <v>788</v>
      </c>
      <c r="I314">
        <v>9456</v>
      </c>
      <c r="J314" t="s">
        <v>62</v>
      </c>
      <c r="K314" t="s">
        <v>53</v>
      </c>
    </row>
    <row r="315" spans="1:11" x14ac:dyDescent="0.25">
      <c r="A315" t="s">
        <v>866</v>
      </c>
      <c r="B315" t="s">
        <v>568</v>
      </c>
      <c r="C315" t="s">
        <v>867</v>
      </c>
      <c r="D315" t="s">
        <v>14</v>
      </c>
      <c r="E315" t="s">
        <v>28</v>
      </c>
      <c r="F315" t="s">
        <v>119</v>
      </c>
      <c r="G315">
        <v>5</v>
      </c>
      <c r="H315">
        <v>1386</v>
      </c>
      <c r="I315">
        <v>6930</v>
      </c>
      <c r="J315" t="s">
        <v>17</v>
      </c>
      <c r="K315" t="s">
        <v>42</v>
      </c>
    </row>
    <row r="316" spans="1:11" x14ac:dyDescent="0.25">
      <c r="A316" t="s">
        <v>868</v>
      </c>
      <c r="B316" t="s">
        <v>12</v>
      </c>
      <c r="C316" t="s">
        <v>869</v>
      </c>
      <c r="D316" t="s">
        <v>40</v>
      </c>
      <c r="E316" t="s">
        <v>57</v>
      </c>
      <c r="F316" t="s">
        <v>106</v>
      </c>
      <c r="G316">
        <v>5</v>
      </c>
      <c r="H316">
        <v>181</v>
      </c>
      <c r="I316">
        <v>905</v>
      </c>
      <c r="J316" t="s">
        <v>36</v>
      </c>
      <c r="K316" t="s">
        <v>70</v>
      </c>
    </row>
    <row r="317" spans="1:11" x14ac:dyDescent="0.25">
      <c r="A317" t="s">
        <v>870</v>
      </c>
      <c r="B317" t="s">
        <v>755</v>
      </c>
      <c r="C317" t="s">
        <v>871</v>
      </c>
      <c r="D317" t="s">
        <v>40</v>
      </c>
      <c r="E317" t="s">
        <v>28</v>
      </c>
      <c r="F317" t="s">
        <v>119</v>
      </c>
      <c r="G317">
        <v>4</v>
      </c>
      <c r="H317">
        <v>590</v>
      </c>
      <c r="I317">
        <v>2360</v>
      </c>
      <c r="J317" t="s">
        <v>30</v>
      </c>
      <c r="K317" t="s">
        <v>24</v>
      </c>
    </row>
    <row r="318" spans="1:11" x14ac:dyDescent="0.25">
      <c r="A318" t="s">
        <v>872</v>
      </c>
      <c r="B318" t="s">
        <v>226</v>
      </c>
      <c r="C318" t="s">
        <v>873</v>
      </c>
      <c r="D318" t="s">
        <v>14</v>
      </c>
      <c r="E318" t="s">
        <v>28</v>
      </c>
      <c r="F318" t="s">
        <v>41</v>
      </c>
      <c r="G318">
        <v>7</v>
      </c>
      <c r="H318">
        <v>1191</v>
      </c>
      <c r="I318">
        <v>8337</v>
      </c>
      <c r="J318" t="s">
        <v>36</v>
      </c>
      <c r="K318" t="s">
        <v>18</v>
      </c>
    </row>
    <row r="319" spans="1:11" x14ac:dyDescent="0.25">
      <c r="A319" t="s">
        <v>874</v>
      </c>
      <c r="B319" t="s">
        <v>204</v>
      </c>
      <c r="C319" t="s">
        <v>875</v>
      </c>
      <c r="D319" t="s">
        <v>40</v>
      </c>
      <c r="E319" t="s">
        <v>57</v>
      </c>
      <c r="F319" t="s">
        <v>139</v>
      </c>
      <c r="G319">
        <v>4</v>
      </c>
      <c r="H319">
        <v>1583</v>
      </c>
      <c r="I319">
        <v>6332</v>
      </c>
      <c r="J319" t="s">
        <v>17</v>
      </c>
      <c r="K319" t="s">
        <v>48</v>
      </c>
    </row>
    <row r="320" spans="1:11" x14ac:dyDescent="0.25">
      <c r="A320" t="s">
        <v>876</v>
      </c>
      <c r="B320" t="s">
        <v>542</v>
      </c>
      <c r="C320" t="s">
        <v>877</v>
      </c>
      <c r="D320" t="s">
        <v>22</v>
      </c>
      <c r="E320" t="s">
        <v>57</v>
      </c>
      <c r="F320" t="s">
        <v>135</v>
      </c>
      <c r="G320">
        <v>20</v>
      </c>
      <c r="H320">
        <v>1720</v>
      </c>
      <c r="I320">
        <v>34400</v>
      </c>
      <c r="J320" t="s">
        <v>17</v>
      </c>
      <c r="K320" t="s">
        <v>70</v>
      </c>
    </row>
    <row r="321" spans="1:11" x14ac:dyDescent="0.25">
      <c r="A321" t="s">
        <v>878</v>
      </c>
      <c r="B321" t="s">
        <v>340</v>
      </c>
      <c r="C321" t="s">
        <v>879</v>
      </c>
      <c r="D321" t="s">
        <v>22</v>
      </c>
      <c r="E321" t="s">
        <v>28</v>
      </c>
      <c r="F321" t="s">
        <v>52</v>
      </c>
      <c r="G321">
        <v>17</v>
      </c>
      <c r="H321">
        <v>1212</v>
      </c>
      <c r="I321">
        <v>20604</v>
      </c>
      <c r="J321" t="s">
        <v>62</v>
      </c>
      <c r="K321" t="s">
        <v>42</v>
      </c>
    </row>
    <row r="322" spans="1:11" x14ac:dyDescent="0.25">
      <c r="A322" t="s">
        <v>880</v>
      </c>
      <c r="B322" t="s">
        <v>573</v>
      </c>
      <c r="C322" t="s">
        <v>881</v>
      </c>
      <c r="D322" t="s">
        <v>14</v>
      </c>
      <c r="E322" t="s">
        <v>34</v>
      </c>
      <c r="F322" t="s">
        <v>84</v>
      </c>
      <c r="G322">
        <v>5</v>
      </c>
      <c r="H322">
        <v>1878</v>
      </c>
      <c r="I322">
        <v>9390</v>
      </c>
      <c r="J322" t="s">
        <v>36</v>
      </c>
      <c r="K322" t="s">
        <v>53</v>
      </c>
    </row>
    <row r="323" spans="1:11" x14ac:dyDescent="0.25">
      <c r="A323" t="s">
        <v>882</v>
      </c>
      <c r="B323" t="s">
        <v>89</v>
      </c>
      <c r="C323" t="s">
        <v>883</v>
      </c>
      <c r="D323" t="s">
        <v>14</v>
      </c>
      <c r="E323" t="s">
        <v>28</v>
      </c>
      <c r="F323" t="s">
        <v>52</v>
      </c>
      <c r="G323">
        <v>8</v>
      </c>
      <c r="H323">
        <v>1906</v>
      </c>
      <c r="I323">
        <v>15248</v>
      </c>
      <c r="J323" t="s">
        <v>36</v>
      </c>
      <c r="K323" t="s">
        <v>18</v>
      </c>
    </row>
    <row r="324" spans="1:11" x14ac:dyDescent="0.25">
      <c r="A324" t="s">
        <v>884</v>
      </c>
      <c r="B324" t="s">
        <v>885</v>
      </c>
      <c r="C324" t="s">
        <v>886</v>
      </c>
      <c r="D324" t="s">
        <v>46</v>
      </c>
      <c r="E324" t="s">
        <v>15</v>
      </c>
      <c r="F324" t="s">
        <v>16</v>
      </c>
      <c r="G324">
        <v>16</v>
      </c>
      <c r="H324">
        <v>1047</v>
      </c>
      <c r="I324">
        <v>16752</v>
      </c>
      <c r="J324" t="s">
        <v>30</v>
      </c>
      <c r="K324" t="s">
        <v>53</v>
      </c>
    </row>
    <row r="325" spans="1:11" x14ac:dyDescent="0.25">
      <c r="A325" t="s">
        <v>887</v>
      </c>
      <c r="B325" t="s">
        <v>888</v>
      </c>
      <c r="C325" t="s">
        <v>889</v>
      </c>
      <c r="D325" t="s">
        <v>14</v>
      </c>
      <c r="E325" t="s">
        <v>34</v>
      </c>
      <c r="F325" t="s">
        <v>84</v>
      </c>
      <c r="G325">
        <v>16</v>
      </c>
      <c r="H325">
        <v>1936</v>
      </c>
      <c r="I325">
        <v>30976</v>
      </c>
      <c r="J325" t="s">
        <v>30</v>
      </c>
      <c r="K325" t="s">
        <v>53</v>
      </c>
    </row>
    <row r="326" spans="1:11" x14ac:dyDescent="0.25">
      <c r="A326" t="s">
        <v>890</v>
      </c>
      <c r="B326" t="s">
        <v>891</v>
      </c>
      <c r="C326" t="s">
        <v>892</v>
      </c>
      <c r="D326" t="s">
        <v>22</v>
      </c>
      <c r="E326" t="s">
        <v>34</v>
      </c>
      <c r="F326" t="s">
        <v>35</v>
      </c>
      <c r="G326">
        <v>20</v>
      </c>
      <c r="H326">
        <v>1693</v>
      </c>
      <c r="I326">
        <v>33860</v>
      </c>
      <c r="J326" t="s">
        <v>36</v>
      </c>
      <c r="K326" t="s">
        <v>42</v>
      </c>
    </row>
    <row r="327" spans="1:11" x14ac:dyDescent="0.25">
      <c r="A327" t="s">
        <v>893</v>
      </c>
      <c r="B327" t="s">
        <v>50</v>
      </c>
      <c r="C327" t="s">
        <v>894</v>
      </c>
      <c r="D327" t="s">
        <v>40</v>
      </c>
      <c r="E327" t="s">
        <v>34</v>
      </c>
      <c r="F327" t="s">
        <v>112</v>
      </c>
      <c r="G327">
        <v>15</v>
      </c>
      <c r="H327">
        <v>927</v>
      </c>
      <c r="I327">
        <v>13905</v>
      </c>
      <c r="J327" t="s">
        <v>17</v>
      </c>
      <c r="K327" t="s">
        <v>53</v>
      </c>
    </row>
    <row r="328" spans="1:11" x14ac:dyDescent="0.25">
      <c r="A328" t="s">
        <v>895</v>
      </c>
      <c r="B328" t="s">
        <v>439</v>
      </c>
      <c r="C328" t="s">
        <v>896</v>
      </c>
      <c r="D328" t="s">
        <v>46</v>
      </c>
      <c r="E328" t="s">
        <v>34</v>
      </c>
      <c r="F328" t="s">
        <v>84</v>
      </c>
      <c r="G328">
        <v>15</v>
      </c>
      <c r="H328">
        <v>1257</v>
      </c>
      <c r="I328">
        <v>18855</v>
      </c>
      <c r="J328" t="s">
        <v>17</v>
      </c>
      <c r="K328" t="s">
        <v>70</v>
      </c>
    </row>
    <row r="329" spans="1:11" x14ac:dyDescent="0.25">
      <c r="A329" t="s">
        <v>897</v>
      </c>
      <c r="B329" t="s">
        <v>204</v>
      </c>
      <c r="C329" t="s">
        <v>898</v>
      </c>
      <c r="D329" t="s">
        <v>46</v>
      </c>
      <c r="E329" t="s">
        <v>28</v>
      </c>
      <c r="F329" t="s">
        <v>52</v>
      </c>
      <c r="G329">
        <v>4</v>
      </c>
      <c r="H329">
        <v>282</v>
      </c>
      <c r="I329">
        <v>1128</v>
      </c>
      <c r="J329" t="s">
        <v>30</v>
      </c>
      <c r="K329" t="s">
        <v>77</v>
      </c>
    </row>
    <row r="330" spans="1:11" x14ac:dyDescent="0.25">
      <c r="A330" t="s">
        <v>899</v>
      </c>
      <c r="B330" t="s">
        <v>397</v>
      </c>
      <c r="C330" t="s">
        <v>900</v>
      </c>
      <c r="D330" t="s">
        <v>40</v>
      </c>
      <c r="E330" t="s">
        <v>57</v>
      </c>
      <c r="F330" t="s">
        <v>135</v>
      </c>
      <c r="G330">
        <v>13</v>
      </c>
      <c r="H330">
        <v>831</v>
      </c>
      <c r="I330">
        <v>10803</v>
      </c>
      <c r="J330" t="s">
        <v>36</v>
      </c>
      <c r="K330" t="s">
        <v>18</v>
      </c>
    </row>
    <row r="331" spans="1:11" x14ac:dyDescent="0.25">
      <c r="A331" t="s">
        <v>901</v>
      </c>
      <c r="B331" t="s">
        <v>264</v>
      </c>
      <c r="C331" t="s">
        <v>902</v>
      </c>
      <c r="D331" t="s">
        <v>40</v>
      </c>
      <c r="E331" t="s">
        <v>28</v>
      </c>
      <c r="F331" t="s">
        <v>119</v>
      </c>
      <c r="G331">
        <v>16</v>
      </c>
      <c r="H331">
        <v>743</v>
      </c>
      <c r="I331">
        <v>11888</v>
      </c>
      <c r="J331" t="s">
        <v>36</v>
      </c>
      <c r="K331" t="s">
        <v>18</v>
      </c>
    </row>
    <row r="332" spans="1:11" x14ac:dyDescent="0.25">
      <c r="A332" t="s">
        <v>903</v>
      </c>
      <c r="B332" t="s">
        <v>904</v>
      </c>
      <c r="C332" t="s">
        <v>905</v>
      </c>
      <c r="D332" t="s">
        <v>40</v>
      </c>
      <c r="E332" t="s">
        <v>28</v>
      </c>
      <c r="F332" t="s">
        <v>119</v>
      </c>
      <c r="G332">
        <v>18</v>
      </c>
      <c r="H332">
        <v>894</v>
      </c>
      <c r="I332">
        <v>16092</v>
      </c>
      <c r="J332" t="s">
        <v>62</v>
      </c>
      <c r="K332" t="s">
        <v>24</v>
      </c>
    </row>
    <row r="333" spans="1:11" x14ac:dyDescent="0.25">
      <c r="A333" t="s">
        <v>906</v>
      </c>
      <c r="B333" t="s">
        <v>814</v>
      </c>
      <c r="C333" t="s">
        <v>907</v>
      </c>
      <c r="D333" t="s">
        <v>40</v>
      </c>
      <c r="E333" t="s">
        <v>57</v>
      </c>
      <c r="F333" t="s">
        <v>139</v>
      </c>
      <c r="G333">
        <v>5</v>
      </c>
      <c r="H333">
        <v>831</v>
      </c>
      <c r="I333">
        <v>4155</v>
      </c>
      <c r="J333" t="s">
        <v>17</v>
      </c>
      <c r="K333" t="s">
        <v>18</v>
      </c>
    </row>
    <row r="334" spans="1:11" x14ac:dyDescent="0.25">
      <c r="A334" t="s">
        <v>908</v>
      </c>
      <c r="B334" t="s">
        <v>400</v>
      </c>
      <c r="C334" t="s">
        <v>909</v>
      </c>
      <c r="D334" t="s">
        <v>46</v>
      </c>
      <c r="E334" t="s">
        <v>57</v>
      </c>
      <c r="F334" t="s">
        <v>58</v>
      </c>
      <c r="G334">
        <v>10</v>
      </c>
      <c r="H334">
        <v>1660</v>
      </c>
      <c r="I334">
        <v>16600</v>
      </c>
      <c r="J334" t="s">
        <v>36</v>
      </c>
      <c r="K334" t="s">
        <v>42</v>
      </c>
    </row>
    <row r="335" spans="1:11" x14ac:dyDescent="0.25">
      <c r="A335" t="s">
        <v>910</v>
      </c>
      <c r="B335" t="s">
        <v>911</v>
      </c>
      <c r="C335" t="s">
        <v>912</v>
      </c>
      <c r="D335" t="s">
        <v>14</v>
      </c>
      <c r="E335" t="s">
        <v>57</v>
      </c>
      <c r="F335" t="s">
        <v>58</v>
      </c>
      <c r="G335">
        <v>14</v>
      </c>
      <c r="H335">
        <v>1311</v>
      </c>
      <c r="I335">
        <v>18354</v>
      </c>
      <c r="J335" t="s">
        <v>36</v>
      </c>
      <c r="K335" t="s">
        <v>77</v>
      </c>
    </row>
    <row r="336" spans="1:11" x14ac:dyDescent="0.25">
      <c r="A336" t="s">
        <v>913</v>
      </c>
      <c r="B336" t="s">
        <v>124</v>
      </c>
      <c r="C336" t="s">
        <v>914</v>
      </c>
      <c r="D336" t="s">
        <v>22</v>
      </c>
      <c r="E336" t="s">
        <v>57</v>
      </c>
      <c r="F336" t="s">
        <v>58</v>
      </c>
      <c r="G336">
        <v>13</v>
      </c>
      <c r="H336">
        <v>1898</v>
      </c>
      <c r="I336">
        <v>24674</v>
      </c>
      <c r="J336" t="s">
        <v>30</v>
      </c>
      <c r="K336" t="s">
        <v>42</v>
      </c>
    </row>
    <row r="337" spans="1:11" x14ac:dyDescent="0.25">
      <c r="A337" t="s">
        <v>915</v>
      </c>
      <c r="B337" t="s">
        <v>391</v>
      </c>
      <c r="C337" t="s">
        <v>916</v>
      </c>
      <c r="D337" t="s">
        <v>14</v>
      </c>
      <c r="E337" t="s">
        <v>57</v>
      </c>
      <c r="F337" t="s">
        <v>106</v>
      </c>
      <c r="G337">
        <v>11</v>
      </c>
      <c r="H337">
        <v>1104</v>
      </c>
      <c r="I337">
        <v>12144</v>
      </c>
      <c r="J337" t="s">
        <v>36</v>
      </c>
      <c r="K337" t="s">
        <v>77</v>
      </c>
    </row>
    <row r="338" spans="1:11" x14ac:dyDescent="0.25">
      <c r="A338" t="s">
        <v>917</v>
      </c>
      <c r="B338" t="s">
        <v>918</v>
      </c>
      <c r="C338" t="s">
        <v>919</v>
      </c>
      <c r="D338" t="s">
        <v>22</v>
      </c>
      <c r="E338" t="s">
        <v>57</v>
      </c>
      <c r="F338" t="s">
        <v>139</v>
      </c>
      <c r="G338">
        <v>1</v>
      </c>
      <c r="H338">
        <v>1578</v>
      </c>
      <c r="I338">
        <v>1578</v>
      </c>
      <c r="J338" t="s">
        <v>30</v>
      </c>
      <c r="K338" t="s">
        <v>24</v>
      </c>
    </row>
    <row r="339" spans="1:11" x14ac:dyDescent="0.25">
      <c r="A339" t="s">
        <v>920</v>
      </c>
      <c r="B339" t="s">
        <v>60</v>
      </c>
      <c r="C339" t="s">
        <v>921</v>
      </c>
      <c r="D339" t="s">
        <v>46</v>
      </c>
      <c r="E339" t="s">
        <v>15</v>
      </c>
      <c r="F339" t="s">
        <v>16</v>
      </c>
      <c r="G339">
        <v>4</v>
      </c>
      <c r="H339">
        <v>1391</v>
      </c>
      <c r="I339">
        <v>5564</v>
      </c>
      <c r="J339" t="s">
        <v>30</v>
      </c>
      <c r="K339" t="s">
        <v>18</v>
      </c>
    </row>
    <row r="340" spans="1:11" x14ac:dyDescent="0.25">
      <c r="A340" t="s">
        <v>922</v>
      </c>
      <c r="B340" t="s">
        <v>739</v>
      </c>
      <c r="C340" t="s">
        <v>923</v>
      </c>
      <c r="D340" t="s">
        <v>14</v>
      </c>
      <c r="E340" t="s">
        <v>28</v>
      </c>
      <c r="F340" t="s">
        <v>29</v>
      </c>
      <c r="G340">
        <v>19</v>
      </c>
      <c r="H340">
        <v>401</v>
      </c>
      <c r="I340">
        <v>7619</v>
      </c>
      <c r="J340" t="s">
        <v>62</v>
      </c>
      <c r="K340" t="s">
        <v>53</v>
      </c>
    </row>
    <row r="341" spans="1:11" x14ac:dyDescent="0.25">
      <c r="A341" t="s">
        <v>924</v>
      </c>
      <c r="B341" t="s">
        <v>376</v>
      </c>
      <c r="C341" t="s">
        <v>925</v>
      </c>
      <c r="D341" t="s">
        <v>22</v>
      </c>
      <c r="E341" t="s">
        <v>15</v>
      </c>
      <c r="F341" t="s">
        <v>16</v>
      </c>
      <c r="G341">
        <v>19</v>
      </c>
      <c r="H341">
        <v>317</v>
      </c>
      <c r="I341">
        <v>6023</v>
      </c>
      <c r="J341" t="s">
        <v>62</v>
      </c>
      <c r="K341" t="s">
        <v>53</v>
      </c>
    </row>
    <row r="342" spans="1:11" x14ac:dyDescent="0.25">
      <c r="A342" t="s">
        <v>926</v>
      </c>
      <c r="B342" t="s">
        <v>927</v>
      </c>
      <c r="C342" t="s">
        <v>928</v>
      </c>
      <c r="D342" t="s">
        <v>22</v>
      </c>
      <c r="E342" t="s">
        <v>28</v>
      </c>
      <c r="F342" t="s">
        <v>41</v>
      </c>
      <c r="G342">
        <v>11</v>
      </c>
      <c r="H342">
        <v>384</v>
      </c>
      <c r="I342">
        <v>4224</v>
      </c>
      <c r="J342" t="s">
        <v>30</v>
      </c>
      <c r="K342" t="s">
        <v>70</v>
      </c>
    </row>
    <row r="343" spans="1:11" x14ac:dyDescent="0.25">
      <c r="A343" t="s">
        <v>929</v>
      </c>
      <c r="B343" t="s">
        <v>614</v>
      </c>
      <c r="C343" t="s">
        <v>930</v>
      </c>
      <c r="D343" t="s">
        <v>14</v>
      </c>
      <c r="E343" t="s">
        <v>28</v>
      </c>
      <c r="F343" t="s">
        <v>41</v>
      </c>
      <c r="G343">
        <v>6</v>
      </c>
      <c r="H343">
        <v>1731</v>
      </c>
      <c r="I343">
        <v>10386</v>
      </c>
      <c r="J343" t="s">
        <v>30</v>
      </c>
      <c r="K343" t="s">
        <v>53</v>
      </c>
    </row>
    <row r="344" spans="1:11" x14ac:dyDescent="0.25">
      <c r="A344" t="s">
        <v>931</v>
      </c>
      <c r="B344" t="s">
        <v>643</v>
      </c>
      <c r="C344" t="s">
        <v>932</v>
      </c>
      <c r="D344" t="s">
        <v>40</v>
      </c>
      <c r="E344" t="s">
        <v>28</v>
      </c>
      <c r="F344" t="s">
        <v>119</v>
      </c>
      <c r="G344">
        <v>1</v>
      </c>
      <c r="H344">
        <v>378</v>
      </c>
      <c r="I344">
        <v>378</v>
      </c>
      <c r="J344" t="s">
        <v>30</v>
      </c>
      <c r="K344" t="s">
        <v>77</v>
      </c>
    </row>
    <row r="345" spans="1:11" x14ac:dyDescent="0.25">
      <c r="A345" t="s">
        <v>933</v>
      </c>
      <c r="B345" t="s">
        <v>706</v>
      </c>
      <c r="C345" t="s">
        <v>934</v>
      </c>
      <c r="D345" t="s">
        <v>22</v>
      </c>
      <c r="E345" t="s">
        <v>34</v>
      </c>
      <c r="F345" t="s">
        <v>35</v>
      </c>
      <c r="G345">
        <v>17</v>
      </c>
      <c r="H345">
        <v>1406</v>
      </c>
      <c r="I345">
        <v>23902</v>
      </c>
      <c r="J345" t="s">
        <v>30</v>
      </c>
      <c r="K345" t="s">
        <v>53</v>
      </c>
    </row>
    <row r="346" spans="1:11" x14ac:dyDescent="0.25">
      <c r="A346" t="s">
        <v>935</v>
      </c>
      <c r="B346" t="s">
        <v>936</v>
      </c>
      <c r="C346" t="s">
        <v>937</v>
      </c>
      <c r="D346" t="s">
        <v>22</v>
      </c>
      <c r="E346" t="s">
        <v>57</v>
      </c>
      <c r="F346" t="s">
        <v>58</v>
      </c>
      <c r="G346">
        <v>1</v>
      </c>
      <c r="H346">
        <v>1020</v>
      </c>
      <c r="I346">
        <v>1020</v>
      </c>
      <c r="J346" t="s">
        <v>36</v>
      </c>
      <c r="K346" t="s">
        <v>70</v>
      </c>
    </row>
    <row r="347" spans="1:11" x14ac:dyDescent="0.25">
      <c r="A347" t="s">
        <v>938</v>
      </c>
      <c r="B347" t="s">
        <v>433</v>
      </c>
      <c r="C347" t="s">
        <v>939</v>
      </c>
      <c r="D347" t="s">
        <v>40</v>
      </c>
      <c r="E347" t="s">
        <v>28</v>
      </c>
      <c r="F347" t="s">
        <v>119</v>
      </c>
      <c r="G347">
        <v>5</v>
      </c>
      <c r="H347">
        <v>1148</v>
      </c>
      <c r="I347">
        <v>5740</v>
      </c>
      <c r="J347" t="s">
        <v>62</v>
      </c>
      <c r="K347" t="s">
        <v>18</v>
      </c>
    </row>
    <row r="348" spans="1:11" x14ac:dyDescent="0.25">
      <c r="A348" t="s">
        <v>940</v>
      </c>
      <c r="B348" t="s">
        <v>809</v>
      </c>
      <c r="C348" t="s">
        <v>941</v>
      </c>
      <c r="D348" t="s">
        <v>22</v>
      </c>
      <c r="E348" t="s">
        <v>57</v>
      </c>
      <c r="F348" t="s">
        <v>58</v>
      </c>
      <c r="G348">
        <v>3</v>
      </c>
      <c r="H348">
        <v>1742</v>
      </c>
      <c r="I348">
        <v>5226</v>
      </c>
      <c r="J348" t="s">
        <v>17</v>
      </c>
      <c r="K348" t="s">
        <v>53</v>
      </c>
    </row>
    <row r="349" spans="1:11" x14ac:dyDescent="0.25">
      <c r="A349" t="s">
        <v>942</v>
      </c>
      <c r="B349" t="s">
        <v>156</v>
      </c>
      <c r="C349" t="s">
        <v>943</v>
      </c>
      <c r="D349" t="s">
        <v>14</v>
      </c>
      <c r="E349" t="s">
        <v>15</v>
      </c>
      <c r="F349" t="s">
        <v>23</v>
      </c>
      <c r="G349">
        <v>14</v>
      </c>
      <c r="H349">
        <v>595</v>
      </c>
      <c r="I349">
        <v>8330</v>
      </c>
      <c r="J349" t="s">
        <v>36</v>
      </c>
      <c r="K349" t="s">
        <v>42</v>
      </c>
    </row>
    <row r="350" spans="1:11" x14ac:dyDescent="0.25">
      <c r="A350" t="s">
        <v>944</v>
      </c>
      <c r="B350" t="s">
        <v>573</v>
      </c>
      <c r="C350" t="s">
        <v>945</v>
      </c>
      <c r="D350" t="s">
        <v>22</v>
      </c>
      <c r="E350" t="s">
        <v>57</v>
      </c>
      <c r="F350" t="s">
        <v>139</v>
      </c>
      <c r="G350">
        <v>18</v>
      </c>
      <c r="H350">
        <v>1271</v>
      </c>
      <c r="I350">
        <v>22878</v>
      </c>
      <c r="J350" t="s">
        <v>36</v>
      </c>
      <c r="K350" t="s">
        <v>48</v>
      </c>
    </row>
    <row r="351" spans="1:11" x14ac:dyDescent="0.25">
      <c r="A351" t="s">
        <v>946</v>
      </c>
      <c r="B351" t="s">
        <v>947</v>
      </c>
      <c r="C351" t="s">
        <v>948</v>
      </c>
      <c r="D351" t="s">
        <v>40</v>
      </c>
      <c r="E351" t="s">
        <v>57</v>
      </c>
      <c r="F351" t="s">
        <v>135</v>
      </c>
      <c r="G351">
        <v>11</v>
      </c>
      <c r="H351">
        <v>1338</v>
      </c>
      <c r="I351">
        <v>14718</v>
      </c>
      <c r="J351" t="s">
        <v>17</v>
      </c>
      <c r="K351" t="s">
        <v>77</v>
      </c>
    </row>
    <row r="352" spans="1:11" x14ac:dyDescent="0.25">
      <c r="A352" t="s">
        <v>949</v>
      </c>
      <c r="B352" t="s">
        <v>773</v>
      </c>
      <c r="C352" t="s">
        <v>950</v>
      </c>
      <c r="D352" t="s">
        <v>40</v>
      </c>
      <c r="E352" t="s">
        <v>28</v>
      </c>
      <c r="F352" t="s">
        <v>41</v>
      </c>
      <c r="G352">
        <v>10</v>
      </c>
      <c r="H352">
        <v>1403</v>
      </c>
      <c r="I352">
        <v>14030</v>
      </c>
      <c r="J352" t="s">
        <v>62</v>
      </c>
      <c r="K352" t="s">
        <v>77</v>
      </c>
    </row>
    <row r="353" spans="1:11" x14ac:dyDescent="0.25">
      <c r="A353" t="s">
        <v>951</v>
      </c>
      <c r="B353" t="s">
        <v>547</v>
      </c>
      <c r="C353" t="s">
        <v>952</v>
      </c>
      <c r="D353" t="s">
        <v>40</v>
      </c>
      <c r="E353" t="s">
        <v>28</v>
      </c>
      <c r="F353" t="s">
        <v>119</v>
      </c>
      <c r="G353">
        <v>12</v>
      </c>
      <c r="H353">
        <v>300</v>
      </c>
      <c r="I353">
        <v>3600</v>
      </c>
      <c r="J353" t="s">
        <v>36</v>
      </c>
      <c r="K353" t="s">
        <v>48</v>
      </c>
    </row>
    <row r="354" spans="1:11" x14ac:dyDescent="0.25">
      <c r="A354" t="s">
        <v>953</v>
      </c>
      <c r="B354" t="s">
        <v>954</v>
      </c>
      <c r="C354" t="s">
        <v>955</v>
      </c>
      <c r="D354" t="s">
        <v>22</v>
      </c>
      <c r="E354" t="s">
        <v>28</v>
      </c>
      <c r="F354" t="s">
        <v>52</v>
      </c>
      <c r="G354">
        <v>5</v>
      </c>
      <c r="H354">
        <v>520</v>
      </c>
      <c r="I354">
        <v>2600</v>
      </c>
      <c r="J354" t="s">
        <v>36</v>
      </c>
      <c r="K354" t="s">
        <v>48</v>
      </c>
    </row>
    <row r="355" spans="1:11" x14ac:dyDescent="0.25">
      <c r="A355" t="s">
        <v>956</v>
      </c>
      <c r="B355" t="s">
        <v>957</v>
      </c>
      <c r="C355" t="s">
        <v>958</v>
      </c>
      <c r="D355" t="s">
        <v>22</v>
      </c>
      <c r="E355" t="s">
        <v>28</v>
      </c>
      <c r="F355" t="s">
        <v>41</v>
      </c>
      <c r="G355">
        <v>9</v>
      </c>
      <c r="H355">
        <v>1048</v>
      </c>
      <c r="I355">
        <v>9432</v>
      </c>
      <c r="J355" t="s">
        <v>62</v>
      </c>
      <c r="K355" t="s">
        <v>24</v>
      </c>
    </row>
    <row r="356" spans="1:11" x14ac:dyDescent="0.25">
      <c r="A356" t="s">
        <v>959</v>
      </c>
      <c r="B356" t="s">
        <v>646</v>
      </c>
      <c r="C356" t="s">
        <v>960</v>
      </c>
      <c r="D356" t="s">
        <v>14</v>
      </c>
      <c r="E356" t="s">
        <v>57</v>
      </c>
      <c r="F356" t="s">
        <v>58</v>
      </c>
      <c r="G356">
        <v>9</v>
      </c>
      <c r="H356">
        <v>1623</v>
      </c>
      <c r="I356">
        <v>14607</v>
      </c>
      <c r="J356" t="s">
        <v>17</v>
      </c>
      <c r="K356" t="s">
        <v>42</v>
      </c>
    </row>
    <row r="357" spans="1:11" x14ac:dyDescent="0.25">
      <c r="A357" t="s">
        <v>961</v>
      </c>
      <c r="B357" t="s">
        <v>888</v>
      </c>
      <c r="C357" t="s">
        <v>962</v>
      </c>
      <c r="D357" t="s">
        <v>22</v>
      </c>
      <c r="E357" t="s">
        <v>15</v>
      </c>
      <c r="F357" t="s">
        <v>154</v>
      </c>
      <c r="G357">
        <v>17</v>
      </c>
      <c r="H357">
        <v>984</v>
      </c>
      <c r="I357">
        <v>16728</v>
      </c>
      <c r="J357" t="s">
        <v>62</v>
      </c>
      <c r="K357" t="s">
        <v>24</v>
      </c>
    </row>
    <row r="358" spans="1:11" x14ac:dyDescent="0.25">
      <c r="A358" t="s">
        <v>963</v>
      </c>
      <c r="B358" t="s">
        <v>346</v>
      </c>
      <c r="C358" t="s">
        <v>964</v>
      </c>
      <c r="D358" t="s">
        <v>46</v>
      </c>
      <c r="E358" t="s">
        <v>34</v>
      </c>
      <c r="F358" t="s">
        <v>112</v>
      </c>
      <c r="G358">
        <v>18</v>
      </c>
      <c r="H358">
        <v>1569</v>
      </c>
      <c r="I358">
        <v>28242</v>
      </c>
      <c r="J358" t="s">
        <v>36</v>
      </c>
      <c r="K358" t="s">
        <v>18</v>
      </c>
    </row>
    <row r="359" spans="1:11" x14ac:dyDescent="0.25">
      <c r="A359" t="s">
        <v>965</v>
      </c>
      <c r="B359" t="s">
        <v>130</v>
      </c>
      <c r="C359" t="s">
        <v>966</v>
      </c>
      <c r="D359" t="s">
        <v>22</v>
      </c>
      <c r="E359" t="s">
        <v>34</v>
      </c>
      <c r="F359" t="s">
        <v>84</v>
      </c>
      <c r="G359">
        <v>15</v>
      </c>
      <c r="H359">
        <v>794</v>
      </c>
      <c r="I359">
        <v>11910</v>
      </c>
      <c r="J359" t="s">
        <v>62</v>
      </c>
      <c r="K359" t="s">
        <v>24</v>
      </c>
    </row>
    <row r="360" spans="1:11" x14ac:dyDescent="0.25">
      <c r="A360" t="s">
        <v>967</v>
      </c>
      <c r="B360" t="s">
        <v>454</v>
      </c>
      <c r="C360" t="s">
        <v>968</v>
      </c>
      <c r="D360" t="s">
        <v>22</v>
      </c>
      <c r="E360" t="s">
        <v>57</v>
      </c>
      <c r="F360" t="s">
        <v>139</v>
      </c>
      <c r="G360">
        <v>6</v>
      </c>
      <c r="H360">
        <v>921</v>
      </c>
      <c r="I360">
        <v>5526</v>
      </c>
      <c r="J360" t="s">
        <v>62</v>
      </c>
      <c r="K360" t="s">
        <v>48</v>
      </c>
    </row>
    <row r="361" spans="1:11" x14ac:dyDescent="0.25">
      <c r="A361" t="s">
        <v>969</v>
      </c>
      <c r="B361" t="s">
        <v>970</v>
      </c>
      <c r="C361" t="s">
        <v>971</v>
      </c>
      <c r="D361" t="s">
        <v>40</v>
      </c>
      <c r="E361" t="s">
        <v>28</v>
      </c>
      <c r="F361" t="s">
        <v>52</v>
      </c>
      <c r="G361">
        <v>19</v>
      </c>
      <c r="H361">
        <v>897</v>
      </c>
      <c r="I361">
        <v>17043</v>
      </c>
      <c r="J361" t="s">
        <v>62</v>
      </c>
      <c r="K361" t="s">
        <v>48</v>
      </c>
    </row>
    <row r="362" spans="1:11" x14ac:dyDescent="0.25">
      <c r="A362" t="s">
        <v>972</v>
      </c>
      <c r="B362" t="s">
        <v>349</v>
      </c>
      <c r="C362" t="s">
        <v>973</v>
      </c>
      <c r="D362" t="s">
        <v>14</v>
      </c>
      <c r="E362" t="s">
        <v>34</v>
      </c>
      <c r="F362" t="s">
        <v>47</v>
      </c>
      <c r="G362">
        <v>6</v>
      </c>
      <c r="H362">
        <v>670</v>
      </c>
      <c r="I362">
        <v>4020</v>
      </c>
      <c r="J362" t="s">
        <v>17</v>
      </c>
      <c r="K362" t="s">
        <v>18</v>
      </c>
    </row>
    <row r="363" spans="1:11" x14ac:dyDescent="0.25">
      <c r="A363" t="s">
        <v>974</v>
      </c>
      <c r="B363" t="s">
        <v>975</v>
      </c>
      <c r="C363" t="s">
        <v>976</v>
      </c>
      <c r="D363" t="s">
        <v>22</v>
      </c>
      <c r="E363" t="s">
        <v>34</v>
      </c>
      <c r="F363" t="s">
        <v>47</v>
      </c>
      <c r="G363">
        <v>3</v>
      </c>
      <c r="H363">
        <v>700</v>
      </c>
      <c r="I363">
        <v>2100</v>
      </c>
      <c r="J363" t="s">
        <v>62</v>
      </c>
      <c r="K363" t="s">
        <v>42</v>
      </c>
    </row>
    <row r="364" spans="1:11" x14ac:dyDescent="0.25">
      <c r="A364" t="s">
        <v>977</v>
      </c>
      <c r="B364" t="s">
        <v>978</v>
      </c>
      <c r="C364" t="s">
        <v>979</v>
      </c>
      <c r="D364" t="s">
        <v>14</v>
      </c>
      <c r="E364" t="s">
        <v>28</v>
      </c>
      <c r="F364" t="s">
        <v>119</v>
      </c>
      <c r="G364">
        <v>7</v>
      </c>
      <c r="H364">
        <v>1417</v>
      </c>
      <c r="I364">
        <v>9919</v>
      </c>
      <c r="J364" t="s">
        <v>30</v>
      </c>
      <c r="K364" t="s">
        <v>42</v>
      </c>
    </row>
    <row r="365" spans="1:11" x14ac:dyDescent="0.25">
      <c r="A365" t="s">
        <v>980</v>
      </c>
      <c r="B365" t="s">
        <v>79</v>
      </c>
      <c r="C365" t="s">
        <v>981</v>
      </c>
      <c r="D365" t="s">
        <v>14</v>
      </c>
      <c r="E365" t="s">
        <v>57</v>
      </c>
      <c r="F365" t="s">
        <v>139</v>
      </c>
      <c r="G365">
        <v>2</v>
      </c>
      <c r="H365">
        <v>426</v>
      </c>
      <c r="I365">
        <v>852</v>
      </c>
      <c r="J365" t="s">
        <v>62</v>
      </c>
      <c r="K365" t="s">
        <v>77</v>
      </c>
    </row>
    <row r="366" spans="1:11" x14ac:dyDescent="0.25">
      <c r="A366" t="s">
        <v>982</v>
      </c>
      <c r="B366" t="s">
        <v>983</v>
      </c>
      <c r="C366" t="s">
        <v>984</v>
      </c>
      <c r="D366" t="s">
        <v>46</v>
      </c>
      <c r="E366" t="s">
        <v>28</v>
      </c>
      <c r="F366" t="s">
        <v>52</v>
      </c>
      <c r="G366">
        <v>11</v>
      </c>
      <c r="H366">
        <v>171</v>
      </c>
      <c r="I366">
        <v>1881</v>
      </c>
      <c r="J366" t="s">
        <v>36</v>
      </c>
      <c r="K366" t="s">
        <v>18</v>
      </c>
    </row>
    <row r="367" spans="1:11" x14ac:dyDescent="0.25">
      <c r="A367" t="s">
        <v>985</v>
      </c>
      <c r="B367" t="s">
        <v>986</v>
      </c>
      <c r="C367" t="s">
        <v>987</v>
      </c>
      <c r="D367" t="s">
        <v>22</v>
      </c>
      <c r="E367" t="s">
        <v>34</v>
      </c>
      <c r="F367" t="s">
        <v>84</v>
      </c>
      <c r="G367">
        <v>8</v>
      </c>
      <c r="H367">
        <v>722</v>
      </c>
      <c r="I367">
        <v>5776</v>
      </c>
      <c r="J367" t="s">
        <v>62</v>
      </c>
      <c r="K367" t="s">
        <v>24</v>
      </c>
    </row>
    <row r="368" spans="1:11" x14ac:dyDescent="0.25">
      <c r="A368" t="s">
        <v>988</v>
      </c>
      <c r="B368" t="s">
        <v>911</v>
      </c>
      <c r="C368" t="s">
        <v>989</v>
      </c>
      <c r="D368" t="s">
        <v>22</v>
      </c>
      <c r="E368" t="s">
        <v>15</v>
      </c>
      <c r="F368" t="s">
        <v>16</v>
      </c>
      <c r="G368">
        <v>13</v>
      </c>
      <c r="H368">
        <v>676</v>
      </c>
      <c r="I368">
        <v>8788</v>
      </c>
      <c r="J368" t="s">
        <v>17</v>
      </c>
      <c r="K368" t="s">
        <v>18</v>
      </c>
    </row>
    <row r="369" spans="1:11" x14ac:dyDescent="0.25">
      <c r="A369" t="s">
        <v>990</v>
      </c>
      <c r="B369" t="s">
        <v>991</v>
      </c>
      <c r="C369" t="s">
        <v>992</v>
      </c>
      <c r="D369" t="s">
        <v>22</v>
      </c>
      <c r="E369" t="s">
        <v>28</v>
      </c>
      <c r="F369" t="s">
        <v>52</v>
      </c>
      <c r="G369">
        <v>18</v>
      </c>
      <c r="H369">
        <v>1715</v>
      </c>
      <c r="I369">
        <v>30870</v>
      </c>
      <c r="J369" t="s">
        <v>62</v>
      </c>
      <c r="K369" t="s">
        <v>70</v>
      </c>
    </row>
    <row r="370" spans="1:11" x14ac:dyDescent="0.25">
      <c r="A370" t="s">
        <v>993</v>
      </c>
      <c r="B370" t="s">
        <v>994</v>
      </c>
      <c r="C370" t="s">
        <v>995</v>
      </c>
      <c r="D370" t="s">
        <v>22</v>
      </c>
      <c r="E370" t="s">
        <v>28</v>
      </c>
      <c r="F370" t="s">
        <v>119</v>
      </c>
      <c r="G370">
        <v>20</v>
      </c>
      <c r="H370">
        <v>951</v>
      </c>
      <c r="I370">
        <v>19020</v>
      </c>
      <c r="J370" t="s">
        <v>62</v>
      </c>
      <c r="K370" t="s">
        <v>48</v>
      </c>
    </row>
    <row r="371" spans="1:11" x14ac:dyDescent="0.25">
      <c r="A371" t="s">
        <v>996</v>
      </c>
      <c r="B371" t="s">
        <v>997</v>
      </c>
      <c r="C371" t="s">
        <v>998</v>
      </c>
      <c r="D371" t="s">
        <v>46</v>
      </c>
      <c r="E371" t="s">
        <v>15</v>
      </c>
      <c r="F371" t="s">
        <v>16</v>
      </c>
      <c r="G371">
        <v>2</v>
      </c>
      <c r="H371">
        <v>1233</v>
      </c>
      <c r="I371">
        <v>2466</v>
      </c>
      <c r="J371" t="s">
        <v>36</v>
      </c>
      <c r="K371" t="s">
        <v>70</v>
      </c>
    </row>
    <row r="372" spans="1:11" x14ac:dyDescent="0.25">
      <c r="A372" t="s">
        <v>999</v>
      </c>
      <c r="B372" t="s">
        <v>229</v>
      </c>
      <c r="C372" t="s">
        <v>1000</v>
      </c>
      <c r="D372" t="s">
        <v>14</v>
      </c>
      <c r="E372" t="s">
        <v>57</v>
      </c>
      <c r="F372" t="s">
        <v>139</v>
      </c>
      <c r="G372">
        <v>7</v>
      </c>
      <c r="H372">
        <v>1040</v>
      </c>
      <c r="I372">
        <v>7280</v>
      </c>
      <c r="J372" t="s">
        <v>36</v>
      </c>
      <c r="K372" t="s">
        <v>48</v>
      </c>
    </row>
    <row r="373" spans="1:11" x14ac:dyDescent="0.25">
      <c r="A373" t="s">
        <v>1001</v>
      </c>
      <c r="B373" t="s">
        <v>352</v>
      </c>
      <c r="C373" t="s">
        <v>1002</v>
      </c>
      <c r="D373" t="s">
        <v>22</v>
      </c>
      <c r="E373" t="s">
        <v>57</v>
      </c>
      <c r="F373" t="s">
        <v>58</v>
      </c>
      <c r="G373">
        <v>18</v>
      </c>
      <c r="H373">
        <v>1128</v>
      </c>
      <c r="I373">
        <v>20304</v>
      </c>
      <c r="J373" t="s">
        <v>36</v>
      </c>
      <c r="K373" t="s">
        <v>53</v>
      </c>
    </row>
    <row r="374" spans="1:11" x14ac:dyDescent="0.25">
      <c r="A374" t="s">
        <v>1003</v>
      </c>
      <c r="B374" t="s">
        <v>1004</v>
      </c>
      <c r="C374" t="s">
        <v>1005</v>
      </c>
      <c r="D374" t="s">
        <v>22</v>
      </c>
      <c r="E374" t="s">
        <v>34</v>
      </c>
      <c r="F374" t="s">
        <v>35</v>
      </c>
      <c r="G374">
        <v>14</v>
      </c>
      <c r="H374">
        <v>359</v>
      </c>
      <c r="I374">
        <v>5026</v>
      </c>
      <c r="J374" t="s">
        <v>30</v>
      </c>
      <c r="K374" t="s">
        <v>42</v>
      </c>
    </row>
    <row r="375" spans="1:11" x14ac:dyDescent="0.25">
      <c r="A375" t="s">
        <v>1006</v>
      </c>
      <c r="B375" t="s">
        <v>773</v>
      </c>
      <c r="C375" t="s">
        <v>1007</v>
      </c>
      <c r="D375" t="s">
        <v>46</v>
      </c>
      <c r="E375" t="s">
        <v>57</v>
      </c>
      <c r="F375" t="s">
        <v>106</v>
      </c>
      <c r="G375">
        <v>14</v>
      </c>
      <c r="H375">
        <v>1035</v>
      </c>
      <c r="I375">
        <v>14490</v>
      </c>
      <c r="J375" t="s">
        <v>30</v>
      </c>
      <c r="K375" t="s">
        <v>53</v>
      </c>
    </row>
    <row r="376" spans="1:11" x14ac:dyDescent="0.25">
      <c r="A376" t="s">
        <v>1008</v>
      </c>
      <c r="B376" t="s">
        <v>1009</v>
      </c>
      <c r="C376" t="s">
        <v>1010</v>
      </c>
      <c r="D376" t="s">
        <v>22</v>
      </c>
      <c r="E376" t="s">
        <v>28</v>
      </c>
      <c r="F376" t="s">
        <v>119</v>
      </c>
      <c r="G376">
        <v>12</v>
      </c>
      <c r="H376">
        <v>1471</v>
      </c>
      <c r="I376">
        <v>17652</v>
      </c>
      <c r="J376" t="s">
        <v>36</v>
      </c>
      <c r="K376" t="s">
        <v>24</v>
      </c>
    </row>
    <row r="377" spans="1:11" x14ac:dyDescent="0.25">
      <c r="A377" t="s">
        <v>1011</v>
      </c>
      <c r="B377" t="s">
        <v>448</v>
      </c>
      <c r="C377" t="s">
        <v>1012</v>
      </c>
      <c r="D377" t="s">
        <v>40</v>
      </c>
      <c r="E377" t="s">
        <v>34</v>
      </c>
      <c r="F377" t="s">
        <v>47</v>
      </c>
      <c r="G377">
        <v>13</v>
      </c>
      <c r="H377">
        <v>787</v>
      </c>
      <c r="I377">
        <v>10231</v>
      </c>
      <c r="J377" t="s">
        <v>17</v>
      </c>
      <c r="K377" t="s">
        <v>18</v>
      </c>
    </row>
    <row r="378" spans="1:11" x14ac:dyDescent="0.25">
      <c r="A378" t="s">
        <v>1013</v>
      </c>
      <c r="B378" t="s">
        <v>247</v>
      </c>
      <c r="C378" t="s">
        <v>1014</v>
      </c>
      <c r="D378" t="s">
        <v>14</v>
      </c>
      <c r="E378" t="s">
        <v>15</v>
      </c>
      <c r="F378" t="s">
        <v>66</v>
      </c>
      <c r="G378">
        <v>12</v>
      </c>
      <c r="H378">
        <v>982</v>
      </c>
      <c r="I378">
        <v>11784</v>
      </c>
      <c r="J378" t="s">
        <v>17</v>
      </c>
      <c r="K378" t="s">
        <v>70</v>
      </c>
    </row>
    <row r="379" spans="1:11" x14ac:dyDescent="0.25">
      <c r="A379" t="s">
        <v>1015</v>
      </c>
      <c r="B379" t="s">
        <v>44</v>
      </c>
      <c r="C379" t="s">
        <v>1016</v>
      </c>
      <c r="D379" t="s">
        <v>40</v>
      </c>
      <c r="E379" t="s">
        <v>34</v>
      </c>
      <c r="F379" t="s">
        <v>84</v>
      </c>
      <c r="G379">
        <v>6</v>
      </c>
      <c r="H379">
        <v>1049</v>
      </c>
      <c r="I379">
        <v>6294</v>
      </c>
      <c r="J379" t="s">
        <v>62</v>
      </c>
      <c r="K379" t="s">
        <v>70</v>
      </c>
    </row>
    <row r="380" spans="1:11" x14ac:dyDescent="0.25">
      <c r="A380" t="s">
        <v>1017</v>
      </c>
      <c r="B380" t="s">
        <v>1018</v>
      </c>
      <c r="C380" t="s">
        <v>1019</v>
      </c>
      <c r="D380" t="s">
        <v>22</v>
      </c>
      <c r="E380" t="s">
        <v>34</v>
      </c>
      <c r="F380" t="s">
        <v>84</v>
      </c>
      <c r="G380">
        <v>12</v>
      </c>
      <c r="H380">
        <v>873</v>
      </c>
      <c r="I380">
        <v>10476</v>
      </c>
      <c r="J380" t="s">
        <v>30</v>
      </c>
      <c r="K380" t="s">
        <v>42</v>
      </c>
    </row>
    <row r="381" spans="1:11" x14ac:dyDescent="0.25">
      <c r="A381" t="s">
        <v>1020</v>
      </c>
      <c r="B381" t="s">
        <v>1009</v>
      </c>
      <c r="C381" t="s">
        <v>1021</v>
      </c>
      <c r="D381" t="s">
        <v>22</v>
      </c>
      <c r="E381" t="s">
        <v>34</v>
      </c>
      <c r="F381" t="s">
        <v>47</v>
      </c>
      <c r="G381">
        <v>19</v>
      </c>
      <c r="H381">
        <v>1479</v>
      </c>
      <c r="I381">
        <v>28101</v>
      </c>
      <c r="J381" t="s">
        <v>36</v>
      </c>
      <c r="K381" t="s">
        <v>18</v>
      </c>
    </row>
    <row r="382" spans="1:11" x14ac:dyDescent="0.25">
      <c r="A382" t="s">
        <v>1022</v>
      </c>
      <c r="B382" t="s">
        <v>1023</v>
      </c>
      <c r="C382" t="s">
        <v>1024</v>
      </c>
      <c r="D382" t="s">
        <v>40</v>
      </c>
      <c r="E382" t="s">
        <v>15</v>
      </c>
      <c r="F382" t="s">
        <v>16</v>
      </c>
      <c r="G382">
        <v>18</v>
      </c>
      <c r="H382">
        <v>954</v>
      </c>
      <c r="I382">
        <v>17172</v>
      </c>
      <c r="J382" t="s">
        <v>62</v>
      </c>
      <c r="K382" t="s">
        <v>77</v>
      </c>
    </row>
    <row r="383" spans="1:11" x14ac:dyDescent="0.25">
      <c r="A383" t="s">
        <v>1025</v>
      </c>
      <c r="B383" t="s">
        <v>98</v>
      </c>
      <c r="C383" t="s">
        <v>1026</v>
      </c>
      <c r="D383" t="s">
        <v>40</v>
      </c>
      <c r="E383" t="s">
        <v>57</v>
      </c>
      <c r="F383" t="s">
        <v>139</v>
      </c>
      <c r="G383">
        <v>19</v>
      </c>
      <c r="H383">
        <v>1594</v>
      </c>
      <c r="I383">
        <v>30286</v>
      </c>
      <c r="J383" t="s">
        <v>17</v>
      </c>
      <c r="K383" t="s">
        <v>24</v>
      </c>
    </row>
    <row r="384" spans="1:11" x14ac:dyDescent="0.25">
      <c r="A384" t="s">
        <v>1027</v>
      </c>
      <c r="B384" t="s">
        <v>542</v>
      </c>
      <c r="C384" t="s">
        <v>1028</v>
      </c>
      <c r="D384" t="s">
        <v>46</v>
      </c>
      <c r="E384" t="s">
        <v>34</v>
      </c>
      <c r="F384" t="s">
        <v>47</v>
      </c>
      <c r="G384">
        <v>17</v>
      </c>
      <c r="H384">
        <v>1077</v>
      </c>
      <c r="I384">
        <v>18309</v>
      </c>
      <c r="J384" t="s">
        <v>30</v>
      </c>
      <c r="K384" t="s">
        <v>24</v>
      </c>
    </row>
    <row r="385" spans="1:11" x14ac:dyDescent="0.25">
      <c r="A385" t="s">
        <v>1029</v>
      </c>
      <c r="B385" t="s">
        <v>582</v>
      </c>
      <c r="C385" t="s">
        <v>1030</v>
      </c>
      <c r="D385" t="s">
        <v>14</v>
      </c>
      <c r="E385" t="s">
        <v>57</v>
      </c>
      <c r="F385" t="s">
        <v>58</v>
      </c>
      <c r="G385">
        <v>10</v>
      </c>
      <c r="H385">
        <v>1486</v>
      </c>
      <c r="I385">
        <v>14860</v>
      </c>
      <c r="J385" t="s">
        <v>36</v>
      </c>
      <c r="K385" t="s">
        <v>53</v>
      </c>
    </row>
    <row r="386" spans="1:11" x14ac:dyDescent="0.25">
      <c r="A386" t="s">
        <v>1031</v>
      </c>
      <c r="B386" t="s">
        <v>460</v>
      </c>
      <c r="C386" t="s">
        <v>1032</v>
      </c>
      <c r="D386" t="s">
        <v>40</v>
      </c>
      <c r="E386" t="s">
        <v>57</v>
      </c>
      <c r="F386" t="s">
        <v>58</v>
      </c>
      <c r="G386">
        <v>18</v>
      </c>
      <c r="H386">
        <v>698</v>
      </c>
      <c r="I386">
        <v>12564</v>
      </c>
      <c r="J386" t="s">
        <v>30</v>
      </c>
      <c r="K386" t="s">
        <v>70</v>
      </c>
    </row>
    <row r="387" spans="1:11" x14ac:dyDescent="0.25">
      <c r="A387" t="s">
        <v>1033</v>
      </c>
      <c r="B387" t="s">
        <v>1034</v>
      </c>
      <c r="C387" t="s">
        <v>1035</v>
      </c>
      <c r="D387" t="s">
        <v>22</v>
      </c>
      <c r="E387" t="s">
        <v>57</v>
      </c>
      <c r="F387" t="s">
        <v>139</v>
      </c>
      <c r="G387">
        <v>10</v>
      </c>
      <c r="H387">
        <v>526</v>
      </c>
      <c r="I387">
        <v>5260</v>
      </c>
      <c r="J387" t="s">
        <v>62</v>
      </c>
      <c r="K387" t="s">
        <v>70</v>
      </c>
    </row>
    <row r="388" spans="1:11" x14ac:dyDescent="0.25">
      <c r="A388" t="s">
        <v>1036</v>
      </c>
      <c r="B388" t="s">
        <v>1037</v>
      </c>
      <c r="C388" t="s">
        <v>1038</v>
      </c>
      <c r="D388" t="s">
        <v>14</v>
      </c>
      <c r="E388" t="s">
        <v>15</v>
      </c>
      <c r="F388" t="s">
        <v>66</v>
      </c>
      <c r="G388">
        <v>4</v>
      </c>
      <c r="H388">
        <v>364</v>
      </c>
      <c r="I388">
        <v>1456</v>
      </c>
      <c r="J388" t="s">
        <v>17</v>
      </c>
      <c r="K388" t="s">
        <v>48</v>
      </c>
    </row>
    <row r="389" spans="1:11" x14ac:dyDescent="0.25">
      <c r="A389" t="s">
        <v>1039</v>
      </c>
      <c r="B389" t="s">
        <v>817</v>
      </c>
      <c r="C389" t="s">
        <v>1040</v>
      </c>
      <c r="D389" t="s">
        <v>40</v>
      </c>
      <c r="E389" t="s">
        <v>57</v>
      </c>
      <c r="F389" t="s">
        <v>139</v>
      </c>
      <c r="G389">
        <v>6</v>
      </c>
      <c r="H389">
        <v>511</v>
      </c>
      <c r="I389">
        <v>3066</v>
      </c>
      <c r="J389" t="s">
        <v>62</v>
      </c>
      <c r="K389" t="s">
        <v>77</v>
      </c>
    </row>
    <row r="390" spans="1:11" x14ac:dyDescent="0.25">
      <c r="A390" t="s">
        <v>1041</v>
      </c>
      <c r="B390" t="s">
        <v>38</v>
      </c>
      <c r="C390" t="s">
        <v>1042</v>
      </c>
      <c r="D390" t="s">
        <v>40</v>
      </c>
      <c r="E390" t="s">
        <v>15</v>
      </c>
      <c r="F390" t="s">
        <v>16</v>
      </c>
      <c r="G390">
        <v>1</v>
      </c>
      <c r="H390">
        <v>1029</v>
      </c>
      <c r="I390">
        <v>1029</v>
      </c>
      <c r="J390" t="s">
        <v>36</v>
      </c>
      <c r="K390" t="s">
        <v>18</v>
      </c>
    </row>
    <row r="391" spans="1:11" x14ac:dyDescent="0.25">
      <c r="A391" t="s">
        <v>1043</v>
      </c>
      <c r="B391" t="s">
        <v>376</v>
      </c>
      <c r="C391" t="s">
        <v>1044</v>
      </c>
      <c r="D391" t="s">
        <v>46</v>
      </c>
      <c r="E391" t="s">
        <v>28</v>
      </c>
      <c r="F391" t="s">
        <v>41</v>
      </c>
      <c r="G391">
        <v>11</v>
      </c>
      <c r="H391">
        <v>281</v>
      </c>
      <c r="I391">
        <v>3091</v>
      </c>
      <c r="J391" t="s">
        <v>30</v>
      </c>
      <c r="K391" t="s">
        <v>77</v>
      </c>
    </row>
    <row r="392" spans="1:11" x14ac:dyDescent="0.25">
      <c r="A392" t="s">
        <v>1045</v>
      </c>
      <c r="B392" t="s">
        <v>663</v>
      </c>
      <c r="C392" t="s">
        <v>1046</v>
      </c>
      <c r="D392" t="s">
        <v>46</v>
      </c>
      <c r="E392" t="s">
        <v>28</v>
      </c>
      <c r="F392" t="s">
        <v>41</v>
      </c>
      <c r="G392">
        <v>11</v>
      </c>
      <c r="H392">
        <v>1245</v>
      </c>
      <c r="I392">
        <v>13695</v>
      </c>
      <c r="J392" t="s">
        <v>17</v>
      </c>
      <c r="K392" t="s">
        <v>77</v>
      </c>
    </row>
    <row r="393" spans="1:11" x14ac:dyDescent="0.25">
      <c r="A393" t="s">
        <v>1047</v>
      </c>
      <c r="B393" t="s">
        <v>1048</v>
      </c>
      <c r="C393" t="s">
        <v>1049</v>
      </c>
      <c r="D393" t="s">
        <v>22</v>
      </c>
      <c r="E393" t="s">
        <v>15</v>
      </c>
      <c r="F393" t="s">
        <v>16</v>
      </c>
      <c r="G393">
        <v>18</v>
      </c>
      <c r="H393">
        <v>1078</v>
      </c>
      <c r="I393">
        <v>19404</v>
      </c>
      <c r="J393" t="s">
        <v>36</v>
      </c>
      <c r="K393" t="s">
        <v>24</v>
      </c>
    </row>
    <row r="394" spans="1:11" x14ac:dyDescent="0.25">
      <c r="A394" t="s">
        <v>1050</v>
      </c>
      <c r="B394" t="s">
        <v>550</v>
      </c>
      <c r="C394" t="s">
        <v>1051</v>
      </c>
      <c r="D394" t="s">
        <v>40</v>
      </c>
      <c r="E394" t="s">
        <v>34</v>
      </c>
      <c r="F394" t="s">
        <v>47</v>
      </c>
      <c r="G394">
        <v>17</v>
      </c>
      <c r="H394">
        <v>584</v>
      </c>
      <c r="I394">
        <v>9928</v>
      </c>
      <c r="J394" t="s">
        <v>17</v>
      </c>
      <c r="K394" t="s">
        <v>42</v>
      </c>
    </row>
    <row r="395" spans="1:11" x14ac:dyDescent="0.25">
      <c r="A395" t="s">
        <v>1052</v>
      </c>
      <c r="B395" t="s">
        <v>1053</v>
      </c>
      <c r="C395" t="s">
        <v>1054</v>
      </c>
      <c r="D395" t="s">
        <v>40</v>
      </c>
      <c r="E395" t="s">
        <v>57</v>
      </c>
      <c r="F395" t="s">
        <v>106</v>
      </c>
      <c r="G395">
        <v>15</v>
      </c>
      <c r="H395">
        <v>1515</v>
      </c>
      <c r="I395">
        <v>22725</v>
      </c>
      <c r="J395" t="s">
        <v>36</v>
      </c>
      <c r="K395" t="s">
        <v>70</v>
      </c>
    </row>
    <row r="396" spans="1:11" x14ac:dyDescent="0.25">
      <c r="A396" t="s">
        <v>1055</v>
      </c>
      <c r="B396" t="s">
        <v>417</v>
      </c>
      <c r="C396" t="s">
        <v>1056</v>
      </c>
      <c r="D396" t="s">
        <v>46</v>
      </c>
      <c r="E396" t="s">
        <v>28</v>
      </c>
      <c r="F396" t="s">
        <v>29</v>
      </c>
      <c r="G396">
        <v>20</v>
      </c>
      <c r="H396">
        <v>1767</v>
      </c>
      <c r="I396">
        <v>35340</v>
      </c>
      <c r="J396" t="s">
        <v>17</v>
      </c>
      <c r="K396" t="s">
        <v>24</v>
      </c>
    </row>
    <row r="397" spans="1:11" x14ac:dyDescent="0.25">
      <c r="A397" t="s">
        <v>1057</v>
      </c>
      <c r="B397" t="s">
        <v>852</v>
      </c>
      <c r="C397" t="s">
        <v>1058</v>
      </c>
      <c r="D397" t="s">
        <v>22</v>
      </c>
      <c r="E397" t="s">
        <v>34</v>
      </c>
      <c r="F397" t="s">
        <v>35</v>
      </c>
      <c r="G397">
        <v>7</v>
      </c>
      <c r="H397">
        <v>489</v>
      </c>
      <c r="I397">
        <v>3423</v>
      </c>
      <c r="J397" t="s">
        <v>36</v>
      </c>
      <c r="K397" t="s">
        <v>53</v>
      </c>
    </row>
    <row r="398" spans="1:11" x14ac:dyDescent="0.25">
      <c r="A398" t="s">
        <v>1059</v>
      </c>
      <c r="B398" t="s">
        <v>891</v>
      </c>
      <c r="C398" t="s">
        <v>1060</v>
      </c>
      <c r="D398" t="s">
        <v>14</v>
      </c>
      <c r="E398" t="s">
        <v>57</v>
      </c>
      <c r="F398" t="s">
        <v>106</v>
      </c>
      <c r="G398">
        <v>20</v>
      </c>
      <c r="H398">
        <v>817</v>
      </c>
      <c r="I398">
        <v>16340</v>
      </c>
      <c r="J398" t="s">
        <v>36</v>
      </c>
      <c r="K398" t="s">
        <v>77</v>
      </c>
    </row>
    <row r="399" spans="1:11" x14ac:dyDescent="0.25">
      <c r="A399" t="s">
        <v>1061</v>
      </c>
      <c r="B399" t="s">
        <v>500</v>
      </c>
      <c r="C399" t="s">
        <v>1062</v>
      </c>
      <c r="D399" t="s">
        <v>40</v>
      </c>
      <c r="E399" t="s">
        <v>28</v>
      </c>
      <c r="F399" t="s">
        <v>119</v>
      </c>
      <c r="G399">
        <v>14</v>
      </c>
      <c r="H399">
        <v>821</v>
      </c>
      <c r="I399">
        <v>11494</v>
      </c>
      <c r="J399" t="s">
        <v>30</v>
      </c>
      <c r="K399" t="s">
        <v>18</v>
      </c>
    </row>
    <row r="400" spans="1:11" x14ac:dyDescent="0.25">
      <c r="A400" t="s">
        <v>1063</v>
      </c>
      <c r="B400" t="s">
        <v>204</v>
      </c>
      <c r="C400" t="s">
        <v>1064</v>
      </c>
      <c r="D400" t="s">
        <v>46</v>
      </c>
      <c r="E400" t="s">
        <v>57</v>
      </c>
      <c r="F400" t="s">
        <v>106</v>
      </c>
      <c r="G400">
        <v>20</v>
      </c>
      <c r="H400">
        <v>173</v>
      </c>
      <c r="I400">
        <v>3460</v>
      </c>
      <c r="J400" t="s">
        <v>30</v>
      </c>
      <c r="K400" t="s">
        <v>70</v>
      </c>
    </row>
    <row r="401" spans="1:11" x14ac:dyDescent="0.25">
      <c r="A401" t="s">
        <v>1065</v>
      </c>
      <c r="B401" t="s">
        <v>1009</v>
      </c>
      <c r="C401" t="s">
        <v>1066</v>
      </c>
      <c r="D401" t="s">
        <v>40</v>
      </c>
      <c r="E401" t="s">
        <v>57</v>
      </c>
      <c r="F401" t="s">
        <v>106</v>
      </c>
      <c r="G401">
        <v>9</v>
      </c>
      <c r="H401">
        <v>853</v>
      </c>
      <c r="I401">
        <v>7677</v>
      </c>
      <c r="J401" t="s">
        <v>30</v>
      </c>
      <c r="K401" t="s">
        <v>70</v>
      </c>
    </row>
    <row r="402" spans="1:11" x14ac:dyDescent="0.25">
      <c r="A402" t="s">
        <v>1067</v>
      </c>
      <c r="B402" t="s">
        <v>997</v>
      </c>
      <c r="C402" t="s">
        <v>1068</v>
      </c>
      <c r="D402" t="s">
        <v>22</v>
      </c>
      <c r="E402" t="s">
        <v>15</v>
      </c>
      <c r="F402" t="s">
        <v>66</v>
      </c>
      <c r="G402">
        <v>19</v>
      </c>
      <c r="H402">
        <v>1724</v>
      </c>
      <c r="I402">
        <v>32756</v>
      </c>
      <c r="J402" t="s">
        <v>62</v>
      </c>
      <c r="K402" t="s">
        <v>53</v>
      </c>
    </row>
    <row r="403" spans="1:11" x14ac:dyDescent="0.25">
      <c r="A403" t="s">
        <v>1069</v>
      </c>
      <c r="B403" t="s">
        <v>1070</v>
      </c>
      <c r="C403" t="s">
        <v>1071</v>
      </c>
      <c r="D403" t="s">
        <v>40</v>
      </c>
      <c r="E403" t="s">
        <v>15</v>
      </c>
      <c r="F403" t="s">
        <v>23</v>
      </c>
      <c r="G403">
        <v>2</v>
      </c>
      <c r="H403">
        <v>234</v>
      </c>
      <c r="I403">
        <v>468</v>
      </c>
      <c r="J403" t="s">
        <v>17</v>
      </c>
      <c r="K403" t="s">
        <v>24</v>
      </c>
    </row>
    <row r="404" spans="1:11" x14ac:dyDescent="0.25">
      <c r="A404" t="s">
        <v>1072</v>
      </c>
      <c r="B404" t="s">
        <v>891</v>
      </c>
      <c r="C404" t="s">
        <v>1073</v>
      </c>
      <c r="D404" t="s">
        <v>40</v>
      </c>
      <c r="E404" t="s">
        <v>57</v>
      </c>
      <c r="F404" t="s">
        <v>58</v>
      </c>
      <c r="G404">
        <v>7</v>
      </c>
      <c r="H404">
        <v>678</v>
      </c>
      <c r="I404">
        <v>4746</v>
      </c>
      <c r="J404" t="s">
        <v>30</v>
      </c>
      <c r="K404" t="s">
        <v>42</v>
      </c>
    </row>
    <row r="405" spans="1:11" x14ac:dyDescent="0.25">
      <c r="A405" t="s">
        <v>1074</v>
      </c>
      <c r="B405" t="s">
        <v>1075</v>
      </c>
      <c r="C405" t="s">
        <v>1076</v>
      </c>
      <c r="D405" t="s">
        <v>14</v>
      </c>
      <c r="E405" t="s">
        <v>15</v>
      </c>
      <c r="F405" t="s">
        <v>16</v>
      </c>
      <c r="G405">
        <v>11</v>
      </c>
      <c r="H405">
        <v>1407</v>
      </c>
      <c r="I405">
        <v>15477</v>
      </c>
      <c r="J405" t="s">
        <v>62</v>
      </c>
      <c r="K405" t="s">
        <v>48</v>
      </c>
    </row>
    <row r="406" spans="1:11" x14ac:dyDescent="0.25">
      <c r="A406" t="s">
        <v>1077</v>
      </c>
      <c r="B406" t="s">
        <v>671</v>
      </c>
      <c r="C406" t="s">
        <v>1078</v>
      </c>
      <c r="D406" t="s">
        <v>14</v>
      </c>
      <c r="E406" t="s">
        <v>34</v>
      </c>
      <c r="F406" t="s">
        <v>112</v>
      </c>
      <c r="G406">
        <v>19</v>
      </c>
      <c r="H406">
        <v>1076</v>
      </c>
      <c r="I406">
        <v>20444</v>
      </c>
      <c r="J406" t="s">
        <v>62</v>
      </c>
      <c r="K406" t="s">
        <v>48</v>
      </c>
    </row>
    <row r="407" spans="1:11" x14ac:dyDescent="0.25">
      <c r="A407" t="s">
        <v>1079</v>
      </c>
      <c r="B407" t="s">
        <v>861</v>
      </c>
      <c r="C407" t="s">
        <v>1080</v>
      </c>
      <c r="D407" t="s">
        <v>22</v>
      </c>
      <c r="E407" t="s">
        <v>15</v>
      </c>
      <c r="F407" t="s">
        <v>66</v>
      </c>
      <c r="G407">
        <v>1</v>
      </c>
      <c r="H407">
        <v>1624</v>
      </c>
      <c r="I407">
        <v>1624</v>
      </c>
      <c r="J407" t="s">
        <v>36</v>
      </c>
      <c r="K407" t="s">
        <v>53</v>
      </c>
    </row>
    <row r="408" spans="1:11" x14ac:dyDescent="0.25">
      <c r="A408" t="s">
        <v>1081</v>
      </c>
      <c r="B408" t="s">
        <v>174</v>
      </c>
      <c r="C408" t="s">
        <v>1082</v>
      </c>
      <c r="D408" t="s">
        <v>40</v>
      </c>
      <c r="E408" t="s">
        <v>15</v>
      </c>
      <c r="F408" t="s">
        <v>154</v>
      </c>
      <c r="G408">
        <v>18</v>
      </c>
      <c r="H408">
        <v>540</v>
      </c>
      <c r="I408">
        <v>9720</v>
      </c>
      <c r="J408" t="s">
        <v>17</v>
      </c>
      <c r="K408" t="s">
        <v>48</v>
      </c>
    </row>
    <row r="409" spans="1:11" x14ac:dyDescent="0.25">
      <c r="A409" t="s">
        <v>1083</v>
      </c>
      <c r="B409" t="s">
        <v>261</v>
      </c>
      <c r="C409" t="s">
        <v>1084</v>
      </c>
      <c r="D409" t="s">
        <v>14</v>
      </c>
      <c r="E409" t="s">
        <v>57</v>
      </c>
      <c r="F409" t="s">
        <v>58</v>
      </c>
      <c r="G409">
        <v>3</v>
      </c>
      <c r="H409">
        <v>901</v>
      </c>
      <c r="I409">
        <v>2703</v>
      </c>
      <c r="J409" t="s">
        <v>17</v>
      </c>
      <c r="K409" t="s">
        <v>70</v>
      </c>
    </row>
    <row r="410" spans="1:11" x14ac:dyDescent="0.25">
      <c r="A410" t="s">
        <v>1085</v>
      </c>
      <c r="B410" t="s">
        <v>72</v>
      </c>
      <c r="C410" t="s">
        <v>1086</v>
      </c>
      <c r="D410" t="s">
        <v>46</v>
      </c>
      <c r="E410" t="s">
        <v>57</v>
      </c>
      <c r="F410" t="s">
        <v>139</v>
      </c>
      <c r="G410">
        <v>8</v>
      </c>
      <c r="H410">
        <v>1605</v>
      </c>
      <c r="I410">
        <v>12840</v>
      </c>
      <c r="J410" t="s">
        <v>36</v>
      </c>
      <c r="K410" t="s">
        <v>48</v>
      </c>
    </row>
    <row r="411" spans="1:11" x14ac:dyDescent="0.25">
      <c r="A411" t="s">
        <v>1087</v>
      </c>
      <c r="B411" t="s">
        <v>68</v>
      </c>
      <c r="C411" t="s">
        <v>1088</v>
      </c>
      <c r="D411" t="s">
        <v>46</v>
      </c>
      <c r="E411" t="s">
        <v>15</v>
      </c>
      <c r="F411" t="s">
        <v>23</v>
      </c>
      <c r="G411">
        <v>12</v>
      </c>
      <c r="H411">
        <v>1543</v>
      </c>
      <c r="I411">
        <v>18516</v>
      </c>
      <c r="J411" t="s">
        <v>30</v>
      </c>
      <c r="K411" t="s">
        <v>24</v>
      </c>
    </row>
    <row r="412" spans="1:11" x14ac:dyDescent="0.25">
      <c r="A412" t="s">
        <v>1089</v>
      </c>
      <c r="B412" t="s">
        <v>722</v>
      </c>
      <c r="C412" t="s">
        <v>1090</v>
      </c>
      <c r="D412" t="s">
        <v>46</v>
      </c>
      <c r="E412" t="s">
        <v>28</v>
      </c>
      <c r="F412" t="s">
        <v>119</v>
      </c>
      <c r="G412">
        <v>19</v>
      </c>
      <c r="H412">
        <v>1782</v>
      </c>
      <c r="I412">
        <v>33858</v>
      </c>
      <c r="J412" t="s">
        <v>17</v>
      </c>
      <c r="K412" t="s">
        <v>70</v>
      </c>
    </row>
    <row r="413" spans="1:11" x14ac:dyDescent="0.25">
      <c r="A413" t="s">
        <v>1091</v>
      </c>
      <c r="B413" t="s">
        <v>582</v>
      </c>
      <c r="C413" t="s">
        <v>1092</v>
      </c>
      <c r="D413" t="s">
        <v>46</v>
      </c>
      <c r="E413" t="s">
        <v>15</v>
      </c>
      <c r="F413" t="s">
        <v>16</v>
      </c>
      <c r="G413">
        <v>6</v>
      </c>
      <c r="H413">
        <v>520</v>
      </c>
      <c r="I413">
        <v>3120</v>
      </c>
      <c r="J413" t="s">
        <v>30</v>
      </c>
      <c r="K413" t="s">
        <v>24</v>
      </c>
    </row>
    <row r="414" spans="1:11" x14ac:dyDescent="0.25">
      <c r="A414" t="s">
        <v>1093</v>
      </c>
      <c r="B414" t="s">
        <v>241</v>
      </c>
      <c r="C414" t="s">
        <v>1094</v>
      </c>
      <c r="D414" t="s">
        <v>22</v>
      </c>
      <c r="E414" t="s">
        <v>15</v>
      </c>
      <c r="F414" t="s">
        <v>154</v>
      </c>
      <c r="G414">
        <v>5</v>
      </c>
      <c r="H414">
        <v>1451</v>
      </c>
      <c r="I414">
        <v>7255</v>
      </c>
      <c r="J414" t="s">
        <v>30</v>
      </c>
      <c r="K414" t="s">
        <v>70</v>
      </c>
    </row>
    <row r="415" spans="1:11" x14ac:dyDescent="0.25">
      <c r="A415" t="s">
        <v>1095</v>
      </c>
      <c r="B415" t="s">
        <v>561</v>
      </c>
      <c r="C415" t="s">
        <v>1096</v>
      </c>
      <c r="D415" t="s">
        <v>22</v>
      </c>
      <c r="E415" t="s">
        <v>57</v>
      </c>
      <c r="F415" t="s">
        <v>58</v>
      </c>
      <c r="G415">
        <v>19</v>
      </c>
      <c r="H415">
        <v>1078</v>
      </c>
      <c r="I415">
        <v>20482</v>
      </c>
      <c r="J415" t="s">
        <v>30</v>
      </c>
      <c r="K415" t="s">
        <v>53</v>
      </c>
    </row>
    <row r="416" spans="1:11" x14ac:dyDescent="0.25">
      <c r="A416" t="s">
        <v>1097</v>
      </c>
      <c r="B416" t="s">
        <v>663</v>
      </c>
      <c r="C416" t="s">
        <v>1098</v>
      </c>
      <c r="D416" t="s">
        <v>40</v>
      </c>
      <c r="E416" t="s">
        <v>34</v>
      </c>
      <c r="F416" t="s">
        <v>35</v>
      </c>
      <c r="G416">
        <v>14</v>
      </c>
      <c r="H416">
        <v>679</v>
      </c>
      <c r="I416">
        <v>9506</v>
      </c>
      <c r="J416" t="s">
        <v>62</v>
      </c>
      <c r="K416" t="s">
        <v>18</v>
      </c>
    </row>
    <row r="417" spans="1:11" x14ac:dyDescent="0.25">
      <c r="A417" t="s">
        <v>1099</v>
      </c>
      <c r="B417" t="s">
        <v>1100</v>
      </c>
      <c r="C417" t="s">
        <v>1101</v>
      </c>
      <c r="D417" t="s">
        <v>14</v>
      </c>
      <c r="E417" t="s">
        <v>15</v>
      </c>
      <c r="F417" t="s">
        <v>154</v>
      </c>
      <c r="G417">
        <v>4</v>
      </c>
      <c r="H417">
        <v>124</v>
      </c>
      <c r="I417">
        <v>496</v>
      </c>
      <c r="J417" t="s">
        <v>30</v>
      </c>
      <c r="K417" t="s">
        <v>48</v>
      </c>
    </row>
    <row r="418" spans="1:11" x14ac:dyDescent="0.25">
      <c r="A418" t="s">
        <v>1102</v>
      </c>
      <c r="B418" t="s">
        <v>510</v>
      </c>
      <c r="C418" t="s">
        <v>1103</v>
      </c>
      <c r="D418" t="s">
        <v>22</v>
      </c>
      <c r="E418" t="s">
        <v>28</v>
      </c>
      <c r="F418" t="s">
        <v>41</v>
      </c>
      <c r="G418">
        <v>15</v>
      </c>
      <c r="H418">
        <v>1253</v>
      </c>
      <c r="I418">
        <v>18795</v>
      </c>
      <c r="J418" t="s">
        <v>17</v>
      </c>
      <c r="K418" t="s">
        <v>18</v>
      </c>
    </row>
    <row r="419" spans="1:11" x14ac:dyDescent="0.25">
      <c r="A419" t="s">
        <v>1104</v>
      </c>
      <c r="B419" t="s">
        <v>79</v>
      </c>
      <c r="C419" t="s">
        <v>1105</v>
      </c>
      <c r="D419" t="s">
        <v>46</v>
      </c>
      <c r="E419" t="s">
        <v>15</v>
      </c>
      <c r="F419" t="s">
        <v>16</v>
      </c>
      <c r="G419">
        <v>12</v>
      </c>
      <c r="H419">
        <v>156</v>
      </c>
      <c r="I419">
        <v>1872</v>
      </c>
      <c r="J419" t="s">
        <v>36</v>
      </c>
      <c r="K419" t="s">
        <v>24</v>
      </c>
    </row>
    <row r="420" spans="1:11" x14ac:dyDescent="0.25">
      <c r="A420" t="s">
        <v>1106</v>
      </c>
      <c r="B420" t="s">
        <v>278</v>
      </c>
      <c r="C420" t="s">
        <v>1107</v>
      </c>
      <c r="D420" t="s">
        <v>14</v>
      </c>
      <c r="E420" t="s">
        <v>34</v>
      </c>
      <c r="F420" t="s">
        <v>35</v>
      </c>
      <c r="G420">
        <v>4</v>
      </c>
      <c r="H420">
        <v>1803</v>
      </c>
      <c r="I420">
        <v>7212</v>
      </c>
      <c r="J420" t="s">
        <v>30</v>
      </c>
      <c r="K420" t="s">
        <v>42</v>
      </c>
    </row>
    <row r="421" spans="1:11" x14ac:dyDescent="0.25">
      <c r="A421" t="s">
        <v>1108</v>
      </c>
      <c r="B421" t="s">
        <v>463</v>
      </c>
      <c r="C421" t="s">
        <v>1109</v>
      </c>
      <c r="D421" t="s">
        <v>40</v>
      </c>
      <c r="E421" t="s">
        <v>28</v>
      </c>
      <c r="F421" t="s">
        <v>29</v>
      </c>
      <c r="G421">
        <v>12</v>
      </c>
      <c r="H421">
        <v>1505</v>
      </c>
      <c r="I421">
        <v>18060</v>
      </c>
      <c r="J421" t="s">
        <v>30</v>
      </c>
      <c r="K421" t="s">
        <v>53</v>
      </c>
    </row>
    <row r="422" spans="1:11" x14ac:dyDescent="0.25">
      <c r="A422" t="s">
        <v>1110</v>
      </c>
      <c r="B422" t="s">
        <v>397</v>
      </c>
      <c r="C422" t="s">
        <v>1111</v>
      </c>
      <c r="D422" t="s">
        <v>22</v>
      </c>
      <c r="E422" t="s">
        <v>57</v>
      </c>
      <c r="F422" t="s">
        <v>139</v>
      </c>
      <c r="G422">
        <v>11</v>
      </c>
      <c r="H422">
        <v>1205</v>
      </c>
      <c r="I422">
        <v>13255</v>
      </c>
      <c r="J422" t="s">
        <v>36</v>
      </c>
      <c r="K422" t="s">
        <v>24</v>
      </c>
    </row>
    <row r="423" spans="1:11" x14ac:dyDescent="0.25">
      <c r="A423" t="s">
        <v>1112</v>
      </c>
      <c r="B423" t="s">
        <v>1053</v>
      </c>
      <c r="C423" t="s">
        <v>1113</v>
      </c>
      <c r="D423" t="s">
        <v>22</v>
      </c>
      <c r="E423" t="s">
        <v>15</v>
      </c>
      <c r="F423" t="s">
        <v>66</v>
      </c>
      <c r="G423">
        <v>1</v>
      </c>
      <c r="H423">
        <v>124</v>
      </c>
      <c r="I423">
        <v>124</v>
      </c>
      <c r="J423" t="s">
        <v>36</v>
      </c>
      <c r="K423" t="s">
        <v>18</v>
      </c>
    </row>
    <row r="424" spans="1:11" x14ac:dyDescent="0.25">
      <c r="A424" t="s">
        <v>1114</v>
      </c>
      <c r="B424" t="s">
        <v>1023</v>
      </c>
      <c r="C424" t="s">
        <v>1115</v>
      </c>
      <c r="D424" t="s">
        <v>46</v>
      </c>
      <c r="E424" t="s">
        <v>34</v>
      </c>
      <c r="F424" t="s">
        <v>84</v>
      </c>
      <c r="G424">
        <v>14</v>
      </c>
      <c r="H424">
        <v>311</v>
      </c>
      <c r="I424">
        <v>4354</v>
      </c>
      <c r="J424" t="s">
        <v>62</v>
      </c>
      <c r="K424" t="s">
        <v>18</v>
      </c>
    </row>
    <row r="425" spans="1:11" x14ac:dyDescent="0.25">
      <c r="A425" t="s">
        <v>1116</v>
      </c>
      <c r="B425" t="s">
        <v>244</v>
      </c>
      <c r="C425" t="s">
        <v>1117</v>
      </c>
      <c r="D425" t="s">
        <v>46</v>
      </c>
      <c r="E425" t="s">
        <v>28</v>
      </c>
      <c r="F425" t="s">
        <v>29</v>
      </c>
      <c r="G425">
        <v>4</v>
      </c>
      <c r="H425">
        <v>175</v>
      </c>
      <c r="I425">
        <v>700</v>
      </c>
      <c r="J425" t="s">
        <v>17</v>
      </c>
      <c r="K425" t="s">
        <v>24</v>
      </c>
    </row>
    <row r="426" spans="1:11" x14ac:dyDescent="0.25">
      <c r="A426" t="s">
        <v>1118</v>
      </c>
      <c r="B426" t="s">
        <v>349</v>
      </c>
      <c r="C426" t="s">
        <v>1119</v>
      </c>
      <c r="D426" t="s">
        <v>22</v>
      </c>
      <c r="E426" t="s">
        <v>28</v>
      </c>
      <c r="F426" t="s">
        <v>41</v>
      </c>
      <c r="G426">
        <v>9</v>
      </c>
      <c r="H426">
        <v>1278</v>
      </c>
      <c r="I426">
        <v>11502</v>
      </c>
      <c r="J426" t="s">
        <v>62</v>
      </c>
      <c r="K426" t="s">
        <v>77</v>
      </c>
    </row>
    <row r="427" spans="1:11" x14ac:dyDescent="0.25">
      <c r="A427" t="s">
        <v>1120</v>
      </c>
      <c r="B427" t="s">
        <v>472</v>
      </c>
      <c r="C427" t="s">
        <v>1121</v>
      </c>
      <c r="D427" t="s">
        <v>40</v>
      </c>
      <c r="E427" t="s">
        <v>28</v>
      </c>
      <c r="F427" t="s">
        <v>41</v>
      </c>
      <c r="G427">
        <v>14</v>
      </c>
      <c r="H427">
        <v>1393</v>
      </c>
      <c r="I427">
        <v>19502</v>
      </c>
      <c r="J427" t="s">
        <v>30</v>
      </c>
      <c r="K427" t="s">
        <v>77</v>
      </c>
    </row>
    <row r="428" spans="1:11" x14ac:dyDescent="0.25">
      <c r="A428" t="s">
        <v>1122</v>
      </c>
      <c r="B428" t="s">
        <v>739</v>
      </c>
      <c r="C428" t="s">
        <v>1123</v>
      </c>
      <c r="D428" t="s">
        <v>22</v>
      </c>
      <c r="E428" t="s">
        <v>34</v>
      </c>
      <c r="F428" t="s">
        <v>35</v>
      </c>
      <c r="G428">
        <v>16</v>
      </c>
      <c r="H428">
        <v>425</v>
      </c>
      <c r="I428">
        <v>6800</v>
      </c>
      <c r="J428" t="s">
        <v>17</v>
      </c>
      <c r="K428" t="s">
        <v>53</v>
      </c>
    </row>
    <row r="429" spans="1:11" x14ac:dyDescent="0.25">
      <c r="A429" t="s">
        <v>1124</v>
      </c>
      <c r="B429" t="s">
        <v>253</v>
      </c>
      <c r="C429" t="s">
        <v>1125</v>
      </c>
      <c r="D429" t="s">
        <v>14</v>
      </c>
      <c r="E429" t="s">
        <v>15</v>
      </c>
      <c r="F429" t="s">
        <v>16</v>
      </c>
      <c r="G429">
        <v>5</v>
      </c>
      <c r="H429">
        <v>840</v>
      </c>
      <c r="I429">
        <v>4200</v>
      </c>
      <c r="J429" t="s">
        <v>36</v>
      </c>
      <c r="K429" t="s">
        <v>77</v>
      </c>
    </row>
    <row r="430" spans="1:11" x14ac:dyDescent="0.25">
      <c r="A430" t="s">
        <v>1126</v>
      </c>
      <c r="B430" t="s">
        <v>773</v>
      </c>
      <c r="C430" t="s">
        <v>1127</v>
      </c>
      <c r="D430" t="s">
        <v>22</v>
      </c>
      <c r="E430" t="s">
        <v>57</v>
      </c>
      <c r="F430" t="s">
        <v>139</v>
      </c>
      <c r="G430">
        <v>8</v>
      </c>
      <c r="H430">
        <v>631</v>
      </c>
      <c r="I430">
        <v>5048</v>
      </c>
      <c r="J430" t="s">
        <v>30</v>
      </c>
      <c r="K430" t="s">
        <v>70</v>
      </c>
    </row>
    <row r="431" spans="1:11" x14ac:dyDescent="0.25">
      <c r="A431" t="s">
        <v>1128</v>
      </c>
      <c r="B431" t="s">
        <v>861</v>
      </c>
      <c r="C431" t="s">
        <v>1129</v>
      </c>
      <c r="D431" t="s">
        <v>14</v>
      </c>
      <c r="E431" t="s">
        <v>28</v>
      </c>
      <c r="F431" t="s">
        <v>119</v>
      </c>
      <c r="G431">
        <v>3</v>
      </c>
      <c r="H431">
        <v>1264</v>
      </c>
      <c r="I431">
        <v>3792</v>
      </c>
      <c r="J431" t="s">
        <v>17</v>
      </c>
      <c r="K431" t="s">
        <v>48</v>
      </c>
    </row>
    <row r="432" spans="1:11" x14ac:dyDescent="0.25">
      <c r="A432" t="s">
        <v>1130</v>
      </c>
      <c r="B432" t="s">
        <v>370</v>
      </c>
      <c r="C432" t="s">
        <v>1131</v>
      </c>
      <c r="D432" t="s">
        <v>46</v>
      </c>
      <c r="E432" t="s">
        <v>34</v>
      </c>
      <c r="F432" t="s">
        <v>47</v>
      </c>
      <c r="G432">
        <v>18</v>
      </c>
      <c r="H432">
        <v>1313</v>
      </c>
      <c r="I432">
        <v>23634</v>
      </c>
      <c r="J432" t="s">
        <v>30</v>
      </c>
      <c r="K432" t="s">
        <v>77</v>
      </c>
    </row>
    <row r="433" spans="1:11" x14ac:dyDescent="0.25">
      <c r="A433" t="s">
        <v>1132</v>
      </c>
      <c r="B433" t="s">
        <v>1133</v>
      </c>
      <c r="C433" t="s">
        <v>1134</v>
      </c>
      <c r="D433" t="s">
        <v>22</v>
      </c>
      <c r="E433" t="s">
        <v>57</v>
      </c>
      <c r="F433" t="s">
        <v>58</v>
      </c>
      <c r="G433">
        <v>4</v>
      </c>
      <c r="H433">
        <v>1313</v>
      </c>
      <c r="I433">
        <v>5252</v>
      </c>
      <c r="J433" t="s">
        <v>17</v>
      </c>
      <c r="K433" t="s">
        <v>48</v>
      </c>
    </row>
    <row r="434" spans="1:11" x14ac:dyDescent="0.25">
      <c r="A434" t="s">
        <v>1135</v>
      </c>
      <c r="B434" t="s">
        <v>593</v>
      </c>
      <c r="C434" t="s">
        <v>1136</v>
      </c>
      <c r="D434" t="s">
        <v>14</v>
      </c>
      <c r="E434" t="s">
        <v>15</v>
      </c>
      <c r="F434" t="s">
        <v>16</v>
      </c>
      <c r="G434">
        <v>12</v>
      </c>
      <c r="H434">
        <v>802</v>
      </c>
      <c r="I434">
        <v>9624</v>
      </c>
      <c r="J434" t="s">
        <v>36</v>
      </c>
      <c r="K434" t="s">
        <v>24</v>
      </c>
    </row>
    <row r="435" spans="1:11" x14ac:dyDescent="0.25">
      <c r="A435" t="s">
        <v>1137</v>
      </c>
      <c r="B435" t="s">
        <v>768</v>
      </c>
      <c r="C435" t="s">
        <v>1138</v>
      </c>
      <c r="D435" t="s">
        <v>46</v>
      </c>
      <c r="E435" t="s">
        <v>28</v>
      </c>
      <c r="F435" t="s">
        <v>41</v>
      </c>
      <c r="G435">
        <v>10</v>
      </c>
      <c r="H435">
        <v>464</v>
      </c>
      <c r="I435">
        <v>4640</v>
      </c>
      <c r="J435" t="s">
        <v>30</v>
      </c>
      <c r="K435" t="s">
        <v>18</v>
      </c>
    </row>
    <row r="436" spans="1:11" x14ac:dyDescent="0.25">
      <c r="A436" t="s">
        <v>1139</v>
      </c>
      <c r="B436" t="s">
        <v>201</v>
      </c>
      <c r="C436" t="s">
        <v>1140</v>
      </c>
      <c r="D436" t="s">
        <v>40</v>
      </c>
      <c r="E436" t="s">
        <v>15</v>
      </c>
      <c r="F436" t="s">
        <v>16</v>
      </c>
      <c r="G436">
        <v>13</v>
      </c>
      <c r="H436">
        <v>1061</v>
      </c>
      <c r="I436">
        <v>13793</v>
      </c>
      <c r="J436" t="s">
        <v>30</v>
      </c>
      <c r="K436" t="s">
        <v>48</v>
      </c>
    </row>
    <row r="437" spans="1:11" x14ac:dyDescent="0.25">
      <c r="A437" t="s">
        <v>1141</v>
      </c>
      <c r="B437" t="s">
        <v>1142</v>
      </c>
      <c r="C437" t="s">
        <v>1143</v>
      </c>
      <c r="D437" t="s">
        <v>14</v>
      </c>
      <c r="E437" t="s">
        <v>28</v>
      </c>
      <c r="F437" t="s">
        <v>52</v>
      </c>
      <c r="G437">
        <v>10</v>
      </c>
      <c r="H437">
        <v>526</v>
      </c>
      <c r="I437">
        <v>5260</v>
      </c>
      <c r="J437" t="s">
        <v>17</v>
      </c>
      <c r="K437" t="s">
        <v>77</v>
      </c>
    </row>
    <row r="438" spans="1:11" x14ac:dyDescent="0.25">
      <c r="A438" t="s">
        <v>1144</v>
      </c>
      <c r="B438" t="s">
        <v>391</v>
      </c>
      <c r="C438" t="s">
        <v>1145</v>
      </c>
      <c r="D438" t="s">
        <v>22</v>
      </c>
      <c r="E438" t="s">
        <v>28</v>
      </c>
      <c r="F438" t="s">
        <v>29</v>
      </c>
      <c r="G438">
        <v>11</v>
      </c>
      <c r="H438">
        <v>395</v>
      </c>
      <c r="I438">
        <v>4345</v>
      </c>
      <c r="J438" t="s">
        <v>17</v>
      </c>
      <c r="K438" t="s">
        <v>18</v>
      </c>
    </row>
    <row r="439" spans="1:11" x14ac:dyDescent="0.25">
      <c r="A439" t="s">
        <v>1146</v>
      </c>
      <c r="B439" t="s">
        <v>32</v>
      </c>
      <c r="C439" t="s">
        <v>1147</v>
      </c>
      <c r="D439" t="s">
        <v>40</v>
      </c>
      <c r="E439" t="s">
        <v>57</v>
      </c>
      <c r="F439" t="s">
        <v>58</v>
      </c>
      <c r="G439">
        <v>12</v>
      </c>
      <c r="H439">
        <v>559</v>
      </c>
      <c r="I439">
        <v>6708</v>
      </c>
      <c r="J439" t="s">
        <v>30</v>
      </c>
      <c r="K439" t="s">
        <v>42</v>
      </c>
    </row>
    <row r="440" spans="1:11" x14ac:dyDescent="0.25">
      <c r="A440" t="s">
        <v>1148</v>
      </c>
      <c r="B440" t="s">
        <v>388</v>
      </c>
      <c r="C440" t="s">
        <v>1149</v>
      </c>
      <c r="D440" t="s">
        <v>46</v>
      </c>
      <c r="E440" t="s">
        <v>28</v>
      </c>
      <c r="F440" t="s">
        <v>52</v>
      </c>
      <c r="G440">
        <v>7</v>
      </c>
      <c r="H440">
        <v>1781</v>
      </c>
      <c r="I440">
        <v>12467</v>
      </c>
      <c r="J440" t="s">
        <v>17</v>
      </c>
      <c r="K440" t="s">
        <v>24</v>
      </c>
    </row>
    <row r="441" spans="1:11" x14ac:dyDescent="0.25">
      <c r="A441" t="s">
        <v>1150</v>
      </c>
      <c r="B441" t="s">
        <v>1151</v>
      </c>
      <c r="C441" t="s">
        <v>1152</v>
      </c>
      <c r="D441" t="s">
        <v>22</v>
      </c>
      <c r="E441" t="s">
        <v>15</v>
      </c>
      <c r="F441" t="s">
        <v>23</v>
      </c>
      <c r="G441">
        <v>8</v>
      </c>
      <c r="H441">
        <v>1366</v>
      </c>
      <c r="I441">
        <v>10928</v>
      </c>
      <c r="J441" t="s">
        <v>17</v>
      </c>
      <c r="K441" t="s">
        <v>77</v>
      </c>
    </row>
    <row r="442" spans="1:11" x14ac:dyDescent="0.25">
      <c r="A442" t="s">
        <v>1153</v>
      </c>
      <c r="B442" t="s">
        <v>322</v>
      </c>
      <c r="C442" t="s">
        <v>1154</v>
      </c>
      <c r="D442" t="s">
        <v>22</v>
      </c>
      <c r="E442" t="s">
        <v>28</v>
      </c>
      <c r="F442" t="s">
        <v>52</v>
      </c>
      <c r="G442">
        <v>15</v>
      </c>
      <c r="H442">
        <v>745</v>
      </c>
      <c r="I442">
        <v>11175</v>
      </c>
      <c r="J442" t="s">
        <v>62</v>
      </c>
      <c r="K442" t="s">
        <v>42</v>
      </c>
    </row>
    <row r="443" spans="1:11" x14ac:dyDescent="0.25">
      <c r="A443" t="s">
        <v>1155</v>
      </c>
      <c r="B443" t="s">
        <v>835</v>
      </c>
      <c r="C443" t="s">
        <v>1156</v>
      </c>
      <c r="D443" t="s">
        <v>14</v>
      </c>
      <c r="E443" t="s">
        <v>28</v>
      </c>
      <c r="F443" t="s">
        <v>52</v>
      </c>
      <c r="G443">
        <v>20</v>
      </c>
      <c r="H443">
        <v>1870</v>
      </c>
      <c r="I443">
        <v>37400</v>
      </c>
      <c r="J443" t="s">
        <v>62</v>
      </c>
      <c r="K443" t="s">
        <v>42</v>
      </c>
    </row>
    <row r="444" spans="1:11" x14ac:dyDescent="0.25">
      <c r="A444" t="s">
        <v>1157</v>
      </c>
      <c r="B444" t="s">
        <v>1158</v>
      </c>
      <c r="C444" t="s">
        <v>1159</v>
      </c>
      <c r="D444" t="s">
        <v>40</v>
      </c>
      <c r="E444" t="s">
        <v>15</v>
      </c>
      <c r="F444" t="s">
        <v>16</v>
      </c>
      <c r="G444">
        <v>17</v>
      </c>
      <c r="H444">
        <v>1815</v>
      </c>
      <c r="I444">
        <v>30855</v>
      </c>
      <c r="J444" t="s">
        <v>17</v>
      </c>
      <c r="K444" t="s">
        <v>18</v>
      </c>
    </row>
    <row r="445" spans="1:11" x14ac:dyDescent="0.25">
      <c r="A445" t="s">
        <v>1160</v>
      </c>
      <c r="B445" t="s">
        <v>1009</v>
      </c>
      <c r="C445" t="s">
        <v>1161</v>
      </c>
      <c r="D445" t="s">
        <v>46</v>
      </c>
      <c r="E445" t="s">
        <v>15</v>
      </c>
      <c r="F445" t="s">
        <v>154</v>
      </c>
      <c r="G445">
        <v>2</v>
      </c>
      <c r="H445">
        <v>526</v>
      </c>
      <c r="I445">
        <v>1052</v>
      </c>
      <c r="J445" t="s">
        <v>62</v>
      </c>
      <c r="K445" t="s">
        <v>70</v>
      </c>
    </row>
    <row r="446" spans="1:11" x14ac:dyDescent="0.25">
      <c r="A446" t="s">
        <v>1162</v>
      </c>
      <c r="B446" t="s">
        <v>1163</v>
      </c>
      <c r="C446" t="s">
        <v>1164</v>
      </c>
      <c r="D446" t="s">
        <v>22</v>
      </c>
      <c r="E446" t="s">
        <v>28</v>
      </c>
      <c r="F446" t="s">
        <v>52</v>
      </c>
      <c r="G446">
        <v>12</v>
      </c>
      <c r="H446">
        <v>1966</v>
      </c>
      <c r="I446">
        <v>23592</v>
      </c>
      <c r="J446" t="s">
        <v>17</v>
      </c>
      <c r="K446" t="s">
        <v>77</v>
      </c>
    </row>
    <row r="447" spans="1:11" x14ac:dyDescent="0.25">
      <c r="A447" t="s">
        <v>1165</v>
      </c>
      <c r="B447" t="s">
        <v>696</v>
      </c>
      <c r="C447" t="s">
        <v>1166</v>
      </c>
      <c r="D447" t="s">
        <v>22</v>
      </c>
      <c r="E447" t="s">
        <v>34</v>
      </c>
      <c r="F447" t="s">
        <v>112</v>
      </c>
      <c r="G447">
        <v>19</v>
      </c>
      <c r="H447">
        <v>1474</v>
      </c>
      <c r="I447">
        <v>28006</v>
      </c>
      <c r="J447" t="s">
        <v>30</v>
      </c>
      <c r="K447" t="s">
        <v>77</v>
      </c>
    </row>
    <row r="448" spans="1:11" x14ac:dyDescent="0.25">
      <c r="A448" t="s">
        <v>1167</v>
      </c>
      <c r="B448" t="s">
        <v>232</v>
      </c>
      <c r="C448" t="s">
        <v>1168</v>
      </c>
      <c r="D448" t="s">
        <v>40</v>
      </c>
      <c r="E448" t="s">
        <v>28</v>
      </c>
      <c r="F448" t="s">
        <v>52</v>
      </c>
      <c r="G448">
        <v>8</v>
      </c>
      <c r="H448">
        <v>860</v>
      </c>
      <c r="I448">
        <v>6880</v>
      </c>
      <c r="J448" t="s">
        <v>17</v>
      </c>
      <c r="K448" t="s">
        <v>18</v>
      </c>
    </row>
    <row r="449" spans="1:11" x14ac:dyDescent="0.25">
      <c r="A449" t="s">
        <v>1169</v>
      </c>
      <c r="B449" t="s">
        <v>480</v>
      </c>
      <c r="C449" t="s">
        <v>1170</v>
      </c>
      <c r="D449" t="s">
        <v>40</v>
      </c>
      <c r="E449" t="s">
        <v>28</v>
      </c>
      <c r="F449" t="s">
        <v>119</v>
      </c>
      <c r="G449">
        <v>11</v>
      </c>
      <c r="H449">
        <v>1164</v>
      </c>
      <c r="I449">
        <v>12804</v>
      </c>
      <c r="J449" t="s">
        <v>62</v>
      </c>
      <c r="K449" t="s">
        <v>53</v>
      </c>
    </row>
    <row r="450" spans="1:11" x14ac:dyDescent="0.25">
      <c r="A450" t="s">
        <v>1171</v>
      </c>
      <c r="B450" t="s">
        <v>152</v>
      </c>
      <c r="C450" t="s">
        <v>1172</v>
      </c>
      <c r="D450" t="s">
        <v>40</v>
      </c>
      <c r="E450" t="s">
        <v>28</v>
      </c>
      <c r="F450" t="s">
        <v>119</v>
      </c>
      <c r="G450">
        <v>6</v>
      </c>
      <c r="H450">
        <v>216</v>
      </c>
      <c r="I450">
        <v>1296</v>
      </c>
      <c r="J450" t="s">
        <v>36</v>
      </c>
      <c r="K450" t="s">
        <v>24</v>
      </c>
    </row>
    <row r="451" spans="1:11" x14ac:dyDescent="0.25">
      <c r="A451" t="s">
        <v>1173</v>
      </c>
      <c r="B451" t="s">
        <v>725</v>
      </c>
      <c r="C451" t="s">
        <v>1174</v>
      </c>
      <c r="D451" t="s">
        <v>14</v>
      </c>
      <c r="E451" t="s">
        <v>34</v>
      </c>
      <c r="F451" t="s">
        <v>47</v>
      </c>
      <c r="G451">
        <v>2</v>
      </c>
      <c r="H451">
        <v>230</v>
      </c>
      <c r="I451">
        <v>460</v>
      </c>
      <c r="J451" t="s">
        <v>17</v>
      </c>
      <c r="K451" t="s">
        <v>48</v>
      </c>
    </row>
    <row r="452" spans="1:11" x14ac:dyDescent="0.25">
      <c r="A452" t="s">
        <v>1175</v>
      </c>
      <c r="B452" t="s">
        <v>994</v>
      </c>
      <c r="C452" t="s">
        <v>1176</v>
      </c>
      <c r="D452" t="s">
        <v>22</v>
      </c>
      <c r="E452" t="s">
        <v>15</v>
      </c>
      <c r="F452" t="s">
        <v>66</v>
      </c>
      <c r="G452">
        <v>19</v>
      </c>
      <c r="H452">
        <v>1546</v>
      </c>
      <c r="I452">
        <v>29374</v>
      </c>
      <c r="J452" t="s">
        <v>30</v>
      </c>
      <c r="K452" t="s">
        <v>42</v>
      </c>
    </row>
    <row r="453" spans="1:11" x14ac:dyDescent="0.25">
      <c r="A453" t="s">
        <v>1177</v>
      </c>
      <c r="B453" t="s">
        <v>201</v>
      </c>
      <c r="C453" t="s">
        <v>1178</v>
      </c>
      <c r="D453" t="s">
        <v>22</v>
      </c>
      <c r="E453" t="s">
        <v>28</v>
      </c>
      <c r="F453" t="s">
        <v>119</v>
      </c>
      <c r="G453">
        <v>16</v>
      </c>
      <c r="H453">
        <v>1253</v>
      </c>
      <c r="I453">
        <v>20048</v>
      </c>
      <c r="J453" t="s">
        <v>17</v>
      </c>
      <c r="K453" t="s">
        <v>42</v>
      </c>
    </row>
    <row r="454" spans="1:11" x14ac:dyDescent="0.25">
      <c r="A454" t="s">
        <v>1179</v>
      </c>
      <c r="B454" t="s">
        <v>505</v>
      </c>
      <c r="C454" t="s">
        <v>1180</v>
      </c>
      <c r="D454" t="s">
        <v>46</v>
      </c>
      <c r="E454" t="s">
        <v>28</v>
      </c>
      <c r="F454" t="s">
        <v>52</v>
      </c>
      <c r="G454">
        <v>18</v>
      </c>
      <c r="H454">
        <v>1748</v>
      </c>
      <c r="I454">
        <v>31464</v>
      </c>
      <c r="J454" t="s">
        <v>17</v>
      </c>
      <c r="K454" t="s">
        <v>42</v>
      </c>
    </row>
    <row r="455" spans="1:11" x14ac:dyDescent="0.25">
      <c r="A455" t="s">
        <v>1181</v>
      </c>
      <c r="B455" t="s">
        <v>60</v>
      </c>
      <c r="C455" t="s">
        <v>1182</v>
      </c>
      <c r="D455" t="s">
        <v>40</v>
      </c>
      <c r="E455" t="s">
        <v>15</v>
      </c>
      <c r="F455" t="s">
        <v>154</v>
      </c>
      <c r="G455">
        <v>16</v>
      </c>
      <c r="H455">
        <v>1302</v>
      </c>
      <c r="I455">
        <v>20832</v>
      </c>
      <c r="J455" t="s">
        <v>30</v>
      </c>
      <c r="K455" t="s">
        <v>42</v>
      </c>
    </row>
    <row r="456" spans="1:11" x14ac:dyDescent="0.25">
      <c r="A456" t="s">
        <v>1183</v>
      </c>
      <c r="B456" t="s">
        <v>911</v>
      </c>
      <c r="C456" t="s">
        <v>1184</v>
      </c>
      <c r="D456" t="s">
        <v>40</v>
      </c>
      <c r="E456" t="s">
        <v>28</v>
      </c>
      <c r="F456" t="s">
        <v>41</v>
      </c>
      <c r="G456">
        <v>19</v>
      </c>
      <c r="H456">
        <v>1727</v>
      </c>
      <c r="I456">
        <v>32813</v>
      </c>
      <c r="J456" t="s">
        <v>30</v>
      </c>
      <c r="K456" t="s">
        <v>53</v>
      </c>
    </row>
    <row r="457" spans="1:11" x14ac:dyDescent="0.25">
      <c r="A457" t="s">
        <v>1185</v>
      </c>
      <c r="B457" t="s">
        <v>663</v>
      </c>
      <c r="C457" t="s">
        <v>1186</v>
      </c>
      <c r="D457" t="s">
        <v>14</v>
      </c>
      <c r="E457" t="s">
        <v>28</v>
      </c>
      <c r="F457" t="s">
        <v>52</v>
      </c>
      <c r="G457">
        <v>11</v>
      </c>
      <c r="H457">
        <v>1418</v>
      </c>
      <c r="I457">
        <v>15598</v>
      </c>
      <c r="J457" t="s">
        <v>36</v>
      </c>
      <c r="K457" t="s">
        <v>48</v>
      </c>
    </row>
    <row r="458" spans="1:11" x14ac:dyDescent="0.25">
      <c r="A458" t="s">
        <v>1187</v>
      </c>
      <c r="B458" t="s">
        <v>776</v>
      </c>
      <c r="C458" t="s">
        <v>1188</v>
      </c>
      <c r="D458" t="s">
        <v>14</v>
      </c>
      <c r="E458" t="s">
        <v>15</v>
      </c>
      <c r="F458" t="s">
        <v>154</v>
      </c>
      <c r="G458">
        <v>15</v>
      </c>
      <c r="H458">
        <v>193</v>
      </c>
      <c r="I458">
        <v>2895</v>
      </c>
      <c r="J458" t="s">
        <v>62</v>
      </c>
      <c r="K458" t="s">
        <v>24</v>
      </c>
    </row>
    <row r="459" spans="1:11" x14ac:dyDescent="0.25">
      <c r="A459" t="s">
        <v>1189</v>
      </c>
      <c r="B459" t="s">
        <v>1070</v>
      </c>
      <c r="C459" t="s">
        <v>1190</v>
      </c>
      <c r="D459" t="s">
        <v>46</v>
      </c>
      <c r="E459" t="s">
        <v>15</v>
      </c>
      <c r="F459" t="s">
        <v>23</v>
      </c>
      <c r="G459">
        <v>4</v>
      </c>
      <c r="H459">
        <v>505</v>
      </c>
      <c r="I459">
        <v>2020</v>
      </c>
      <c r="J459" t="s">
        <v>36</v>
      </c>
      <c r="K459" t="s">
        <v>48</v>
      </c>
    </row>
    <row r="460" spans="1:11" x14ac:dyDescent="0.25">
      <c r="A460" t="s">
        <v>1191</v>
      </c>
      <c r="B460" t="s">
        <v>1192</v>
      </c>
      <c r="C460" t="s">
        <v>1193</v>
      </c>
      <c r="D460" t="s">
        <v>14</v>
      </c>
      <c r="E460" t="s">
        <v>57</v>
      </c>
      <c r="F460" t="s">
        <v>139</v>
      </c>
      <c r="G460">
        <v>12</v>
      </c>
      <c r="H460">
        <v>1388</v>
      </c>
      <c r="I460">
        <v>16656</v>
      </c>
      <c r="J460" t="s">
        <v>30</v>
      </c>
      <c r="K460" t="s">
        <v>53</v>
      </c>
    </row>
    <row r="461" spans="1:11" x14ac:dyDescent="0.25">
      <c r="A461" t="s">
        <v>1194</v>
      </c>
      <c r="B461" t="s">
        <v>391</v>
      </c>
      <c r="C461" t="s">
        <v>1195</v>
      </c>
      <c r="D461" t="s">
        <v>14</v>
      </c>
      <c r="E461" t="s">
        <v>57</v>
      </c>
      <c r="F461" t="s">
        <v>139</v>
      </c>
      <c r="G461">
        <v>14</v>
      </c>
      <c r="H461">
        <v>286</v>
      </c>
      <c r="I461">
        <v>4004</v>
      </c>
      <c r="J461" t="s">
        <v>30</v>
      </c>
      <c r="K461" t="s">
        <v>48</v>
      </c>
    </row>
    <row r="462" spans="1:11" x14ac:dyDescent="0.25">
      <c r="A462" t="s">
        <v>1196</v>
      </c>
      <c r="B462" t="s">
        <v>681</v>
      </c>
      <c r="C462" t="s">
        <v>1197</v>
      </c>
      <c r="D462" t="s">
        <v>46</v>
      </c>
      <c r="E462" t="s">
        <v>57</v>
      </c>
      <c r="F462" t="s">
        <v>135</v>
      </c>
      <c r="G462">
        <v>18</v>
      </c>
      <c r="H462">
        <v>1878</v>
      </c>
      <c r="I462">
        <v>33804</v>
      </c>
      <c r="J462" t="s">
        <v>62</v>
      </c>
      <c r="K462" t="s">
        <v>42</v>
      </c>
    </row>
    <row r="463" spans="1:11" x14ac:dyDescent="0.25">
      <c r="A463" t="s">
        <v>1198</v>
      </c>
      <c r="B463" t="s">
        <v>1199</v>
      </c>
      <c r="C463" t="s">
        <v>1200</v>
      </c>
      <c r="D463" t="s">
        <v>22</v>
      </c>
      <c r="E463" t="s">
        <v>15</v>
      </c>
      <c r="F463" t="s">
        <v>154</v>
      </c>
      <c r="G463">
        <v>13</v>
      </c>
      <c r="H463">
        <v>1867</v>
      </c>
      <c r="I463">
        <v>24271</v>
      </c>
      <c r="J463" t="s">
        <v>30</v>
      </c>
      <c r="K463" t="s">
        <v>48</v>
      </c>
    </row>
    <row r="464" spans="1:11" x14ac:dyDescent="0.25">
      <c r="A464" t="s">
        <v>1201</v>
      </c>
      <c r="B464" t="s">
        <v>561</v>
      </c>
      <c r="C464" t="s">
        <v>1202</v>
      </c>
      <c r="D464" t="s">
        <v>40</v>
      </c>
      <c r="E464" t="s">
        <v>15</v>
      </c>
      <c r="F464" t="s">
        <v>154</v>
      </c>
      <c r="G464">
        <v>16</v>
      </c>
      <c r="H464">
        <v>1659</v>
      </c>
      <c r="I464">
        <v>26544</v>
      </c>
      <c r="J464" t="s">
        <v>62</v>
      </c>
      <c r="K464" t="s">
        <v>48</v>
      </c>
    </row>
    <row r="465" spans="1:11" x14ac:dyDescent="0.25">
      <c r="A465" t="s">
        <v>1203</v>
      </c>
      <c r="B465" t="s">
        <v>235</v>
      </c>
      <c r="C465" t="s">
        <v>1204</v>
      </c>
      <c r="D465" t="s">
        <v>46</v>
      </c>
      <c r="E465" t="s">
        <v>34</v>
      </c>
      <c r="F465" t="s">
        <v>84</v>
      </c>
      <c r="G465">
        <v>12</v>
      </c>
      <c r="H465">
        <v>1933</v>
      </c>
      <c r="I465">
        <v>23196</v>
      </c>
      <c r="J465" t="s">
        <v>36</v>
      </c>
      <c r="K465" t="s">
        <v>24</v>
      </c>
    </row>
    <row r="466" spans="1:11" x14ac:dyDescent="0.25">
      <c r="A466" t="s">
        <v>1205</v>
      </c>
      <c r="B466" t="s">
        <v>201</v>
      </c>
      <c r="C466" t="s">
        <v>1206</v>
      </c>
      <c r="D466" t="s">
        <v>46</v>
      </c>
      <c r="E466" t="s">
        <v>34</v>
      </c>
      <c r="F466" t="s">
        <v>47</v>
      </c>
      <c r="G466">
        <v>19</v>
      </c>
      <c r="H466">
        <v>480</v>
      </c>
      <c r="I466">
        <v>9120</v>
      </c>
      <c r="J466" t="s">
        <v>17</v>
      </c>
      <c r="K466" t="s">
        <v>77</v>
      </c>
    </row>
    <row r="467" spans="1:11" x14ac:dyDescent="0.25">
      <c r="A467" t="s">
        <v>1207</v>
      </c>
      <c r="B467" t="s">
        <v>223</v>
      </c>
      <c r="C467" t="s">
        <v>1208</v>
      </c>
      <c r="D467" t="s">
        <v>46</v>
      </c>
      <c r="E467" t="s">
        <v>15</v>
      </c>
      <c r="F467" t="s">
        <v>23</v>
      </c>
      <c r="G467">
        <v>19</v>
      </c>
      <c r="H467">
        <v>492</v>
      </c>
      <c r="I467">
        <v>9348</v>
      </c>
      <c r="J467" t="s">
        <v>36</v>
      </c>
      <c r="K467" t="s">
        <v>18</v>
      </c>
    </row>
    <row r="468" spans="1:11" x14ac:dyDescent="0.25">
      <c r="A468" t="s">
        <v>1209</v>
      </c>
      <c r="B468" t="s">
        <v>250</v>
      </c>
      <c r="C468" t="s">
        <v>1210</v>
      </c>
      <c r="D468" t="s">
        <v>22</v>
      </c>
      <c r="E468" t="s">
        <v>28</v>
      </c>
      <c r="F468" t="s">
        <v>52</v>
      </c>
      <c r="G468">
        <v>1</v>
      </c>
      <c r="H468">
        <v>701</v>
      </c>
      <c r="I468">
        <v>701</v>
      </c>
      <c r="J468" t="s">
        <v>17</v>
      </c>
      <c r="K468" t="s">
        <v>48</v>
      </c>
    </row>
    <row r="469" spans="1:11" x14ac:dyDescent="0.25">
      <c r="A469" t="s">
        <v>1211</v>
      </c>
      <c r="B469" t="s">
        <v>614</v>
      </c>
      <c r="C469" t="s">
        <v>1212</v>
      </c>
      <c r="D469" t="s">
        <v>46</v>
      </c>
      <c r="E469" t="s">
        <v>34</v>
      </c>
      <c r="F469" t="s">
        <v>35</v>
      </c>
      <c r="G469">
        <v>2</v>
      </c>
      <c r="H469">
        <v>230</v>
      </c>
      <c r="I469">
        <v>460</v>
      </c>
      <c r="J469" t="s">
        <v>17</v>
      </c>
      <c r="K469" t="s">
        <v>48</v>
      </c>
    </row>
    <row r="470" spans="1:11" x14ac:dyDescent="0.25">
      <c r="A470" t="s">
        <v>1213</v>
      </c>
      <c r="B470" t="s">
        <v>599</v>
      </c>
      <c r="C470" t="s">
        <v>1214</v>
      </c>
      <c r="D470" t="s">
        <v>40</v>
      </c>
      <c r="E470" t="s">
        <v>28</v>
      </c>
      <c r="F470" t="s">
        <v>41</v>
      </c>
      <c r="G470">
        <v>17</v>
      </c>
      <c r="H470">
        <v>515</v>
      </c>
      <c r="I470">
        <v>8755</v>
      </c>
      <c r="J470" t="s">
        <v>30</v>
      </c>
      <c r="K470" t="s">
        <v>70</v>
      </c>
    </row>
    <row r="471" spans="1:11" x14ac:dyDescent="0.25">
      <c r="A471" t="s">
        <v>1215</v>
      </c>
      <c r="B471" t="s">
        <v>355</v>
      </c>
      <c r="C471" t="s">
        <v>1216</v>
      </c>
      <c r="D471" t="s">
        <v>40</v>
      </c>
      <c r="E471" t="s">
        <v>28</v>
      </c>
      <c r="F471" t="s">
        <v>119</v>
      </c>
      <c r="G471">
        <v>9</v>
      </c>
      <c r="H471">
        <v>1159</v>
      </c>
      <c r="I471">
        <v>10431</v>
      </c>
      <c r="J471" t="s">
        <v>62</v>
      </c>
      <c r="K471" t="s">
        <v>42</v>
      </c>
    </row>
    <row r="472" spans="1:11" x14ac:dyDescent="0.25">
      <c r="A472" t="s">
        <v>1217</v>
      </c>
      <c r="B472" t="s">
        <v>196</v>
      </c>
      <c r="C472" t="s">
        <v>1218</v>
      </c>
      <c r="D472" t="s">
        <v>14</v>
      </c>
      <c r="E472" t="s">
        <v>34</v>
      </c>
      <c r="F472" t="s">
        <v>35</v>
      </c>
      <c r="G472">
        <v>1</v>
      </c>
      <c r="H472">
        <v>1890</v>
      </c>
      <c r="I472">
        <v>1890</v>
      </c>
      <c r="J472" t="s">
        <v>62</v>
      </c>
      <c r="K472" t="s">
        <v>18</v>
      </c>
    </row>
    <row r="473" spans="1:11" x14ac:dyDescent="0.25">
      <c r="A473" t="s">
        <v>1219</v>
      </c>
      <c r="B473" t="s">
        <v>121</v>
      </c>
      <c r="C473" t="s">
        <v>1220</v>
      </c>
      <c r="D473" t="s">
        <v>14</v>
      </c>
      <c r="E473" t="s">
        <v>34</v>
      </c>
      <c r="F473" t="s">
        <v>35</v>
      </c>
      <c r="G473">
        <v>11</v>
      </c>
      <c r="H473">
        <v>205</v>
      </c>
      <c r="I473">
        <v>2255</v>
      </c>
      <c r="J473" t="s">
        <v>62</v>
      </c>
      <c r="K473" t="s">
        <v>48</v>
      </c>
    </row>
    <row r="474" spans="1:11" x14ac:dyDescent="0.25">
      <c r="A474" t="s">
        <v>1221</v>
      </c>
      <c r="B474" t="s">
        <v>1222</v>
      </c>
      <c r="C474" t="s">
        <v>1223</v>
      </c>
      <c r="D474" t="s">
        <v>22</v>
      </c>
      <c r="E474" t="s">
        <v>28</v>
      </c>
      <c r="F474" t="s">
        <v>119</v>
      </c>
      <c r="G474">
        <v>2</v>
      </c>
      <c r="H474">
        <v>1578</v>
      </c>
      <c r="I474">
        <v>3156</v>
      </c>
      <c r="J474" t="s">
        <v>36</v>
      </c>
      <c r="K474" t="s">
        <v>48</v>
      </c>
    </row>
    <row r="475" spans="1:11" x14ac:dyDescent="0.25">
      <c r="A475" t="s">
        <v>1224</v>
      </c>
      <c r="B475" t="s">
        <v>12</v>
      </c>
      <c r="C475" t="s">
        <v>1225</v>
      </c>
      <c r="D475" t="s">
        <v>46</v>
      </c>
      <c r="E475" t="s">
        <v>15</v>
      </c>
      <c r="F475" t="s">
        <v>16</v>
      </c>
      <c r="G475">
        <v>5</v>
      </c>
      <c r="H475">
        <v>1003</v>
      </c>
      <c r="I475">
        <v>5015</v>
      </c>
      <c r="J475" t="s">
        <v>30</v>
      </c>
      <c r="K475" t="s">
        <v>53</v>
      </c>
    </row>
    <row r="476" spans="1:11" x14ac:dyDescent="0.25">
      <c r="A476" t="s">
        <v>1226</v>
      </c>
      <c r="B476" t="s">
        <v>1227</v>
      </c>
      <c r="C476" t="s">
        <v>1228</v>
      </c>
      <c r="D476" t="s">
        <v>40</v>
      </c>
      <c r="E476" t="s">
        <v>57</v>
      </c>
      <c r="F476" t="s">
        <v>58</v>
      </c>
      <c r="G476">
        <v>20</v>
      </c>
      <c r="H476">
        <v>968</v>
      </c>
      <c r="I476">
        <v>19360</v>
      </c>
      <c r="J476" t="s">
        <v>62</v>
      </c>
      <c r="K476" t="s">
        <v>18</v>
      </c>
    </row>
    <row r="477" spans="1:11" x14ac:dyDescent="0.25">
      <c r="A477" t="s">
        <v>1229</v>
      </c>
      <c r="B477" t="s">
        <v>713</v>
      </c>
      <c r="C477" t="s">
        <v>1230</v>
      </c>
      <c r="D477" t="s">
        <v>14</v>
      </c>
      <c r="E477" t="s">
        <v>34</v>
      </c>
      <c r="F477" t="s">
        <v>35</v>
      </c>
      <c r="G477">
        <v>20</v>
      </c>
      <c r="H477">
        <v>1463</v>
      </c>
      <c r="I477">
        <v>29260</v>
      </c>
      <c r="J477" t="s">
        <v>17</v>
      </c>
      <c r="K477" t="s">
        <v>70</v>
      </c>
    </row>
    <row r="478" spans="1:11" x14ac:dyDescent="0.25">
      <c r="A478" t="s">
        <v>1231</v>
      </c>
      <c r="B478" t="s">
        <v>217</v>
      </c>
      <c r="C478" t="s">
        <v>1232</v>
      </c>
      <c r="D478" t="s">
        <v>22</v>
      </c>
      <c r="E478" t="s">
        <v>15</v>
      </c>
      <c r="F478" t="s">
        <v>16</v>
      </c>
      <c r="G478">
        <v>9</v>
      </c>
      <c r="H478">
        <v>1050</v>
      </c>
      <c r="I478">
        <v>9450</v>
      </c>
      <c r="J478" t="s">
        <v>30</v>
      </c>
      <c r="K478" t="s">
        <v>48</v>
      </c>
    </row>
    <row r="479" spans="1:11" x14ac:dyDescent="0.25">
      <c r="A479" t="s">
        <v>1233</v>
      </c>
      <c r="B479" t="s">
        <v>1234</v>
      </c>
      <c r="C479" t="s">
        <v>1235</v>
      </c>
      <c r="D479" t="s">
        <v>40</v>
      </c>
      <c r="E479" t="s">
        <v>57</v>
      </c>
      <c r="F479" t="s">
        <v>106</v>
      </c>
      <c r="G479">
        <v>9</v>
      </c>
      <c r="H479">
        <v>166</v>
      </c>
      <c r="I479">
        <v>1494</v>
      </c>
      <c r="J479" t="s">
        <v>62</v>
      </c>
      <c r="K479" t="s">
        <v>53</v>
      </c>
    </row>
    <row r="480" spans="1:11" x14ac:dyDescent="0.25">
      <c r="A480" t="s">
        <v>1236</v>
      </c>
      <c r="B480" t="s">
        <v>201</v>
      </c>
      <c r="C480" t="s">
        <v>1237</v>
      </c>
      <c r="D480" t="s">
        <v>46</v>
      </c>
      <c r="E480" t="s">
        <v>34</v>
      </c>
      <c r="F480" t="s">
        <v>35</v>
      </c>
      <c r="G480">
        <v>8</v>
      </c>
      <c r="H480">
        <v>1830</v>
      </c>
      <c r="I480">
        <v>14640</v>
      </c>
      <c r="J480" t="s">
        <v>17</v>
      </c>
      <c r="K480" t="s">
        <v>77</v>
      </c>
    </row>
    <row r="481" spans="1:11" x14ac:dyDescent="0.25">
      <c r="A481" t="s">
        <v>1238</v>
      </c>
      <c r="B481" t="s">
        <v>291</v>
      </c>
      <c r="C481" t="s">
        <v>1239</v>
      </c>
      <c r="D481" t="s">
        <v>22</v>
      </c>
      <c r="E481" t="s">
        <v>15</v>
      </c>
      <c r="F481" t="s">
        <v>16</v>
      </c>
      <c r="G481">
        <v>5</v>
      </c>
      <c r="H481">
        <v>1964</v>
      </c>
      <c r="I481">
        <v>9820</v>
      </c>
      <c r="J481" t="s">
        <v>30</v>
      </c>
      <c r="K481" t="s">
        <v>53</v>
      </c>
    </row>
    <row r="482" spans="1:11" x14ac:dyDescent="0.25">
      <c r="A482" t="s">
        <v>1240</v>
      </c>
      <c r="B482" t="s">
        <v>1241</v>
      </c>
      <c r="C482" t="s">
        <v>1242</v>
      </c>
      <c r="D482" t="s">
        <v>40</v>
      </c>
      <c r="E482" t="s">
        <v>15</v>
      </c>
      <c r="F482" t="s">
        <v>23</v>
      </c>
      <c r="G482">
        <v>9</v>
      </c>
      <c r="H482">
        <v>231</v>
      </c>
      <c r="I482">
        <v>2079</v>
      </c>
      <c r="J482" t="s">
        <v>36</v>
      </c>
      <c r="K482" t="s">
        <v>77</v>
      </c>
    </row>
    <row r="483" spans="1:11" x14ac:dyDescent="0.25">
      <c r="A483" t="s">
        <v>1243</v>
      </c>
      <c r="B483" t="s">
        <v>749</v>
      </c>
      <c r="C483" t="s">
        <v>1244</v>
      </c>
      <c r="D483" t="s">
        <v>14</v>
      </c>
      <c r="E483" t="s">
        <v>28</v>
      </c>
      <c r="F483" t="s">
        <v>52</v>
      </c>
      <c r="G483">
        <v>3</v>
      </c>
      <c r="H483">
        <v>1762</v>
      </c>
      <c r="I483">
        <v>5286</v>
      </c>
      <c r="J483" t="s">
        <v>30</v>
      </c>
      <c r="K483" t="s">
        <v>70</v>
      </c>
    </row>
    <row r="484" spans="1:11" x14ac:dyDescent="0.25">
      <c r="A484" t="s">
        <v>1245</v>
      </c>
      <c r="B484" t="s">
        <v>510</v>
      </c>
      <c r="C484" t="s">
        <v>1246</v>
      </c>
      <c r="D484" t="s">
        <v>14</v>
      </c>
      <c r="E484" t="s">
        <v>34</v>
      </c>
      <c r="F484" t="s">
        <v>47</v>
      </c>
      <c r="G484">
        <v>5</v>
      </c>
      <c r="H484">
        <v>1438</v>
      </c>
      <c r="I484">
        <v>7190</v>
      </c>
      <c r="J484" t="s">
        <v>36</v>
      </c>
      <c r="K484" t="s">
        <v>24</v>
      </c>
    </row>
    <row r="485" spans="1:11" x14ac:dyDescent="0.25">
      <c r="A485" t="s">
        <v>1247</v>
      </c>
      <c r="B485" t="s">
        <v>349</v>
      </c>
      <c r="C485" t="s">
        <v>1248</v>
      </c>
      <c r="D485" t="s">
        <v>14</v>
      </c>
      <c r="E485" t="s">
        <v>28</v>
      </c>
      <c r="F485" t="s">
        <v>29</v>
      </c>
      <c r="G485">
        <v>10</v>
      </c>
      <c r="H485">
        <v>1729</v>
      </c>
      <c r="I485">
        <v>17290</v>
      </c>
      <c r="J485" t="s">
        <v>17</v>
      </c>
      <c r="K485" t="s">
        <v>42</v>
      </c>
    </row>
    <row r="486" spans="1:11" x14ac:dyDescent="0.25">
      <c r="A486" t="s">
        <v>1249</v>
      </c>
      <c r="B486" t="s">
        <v>991</v>
      </c>
      <c r="C486" t="s">
        <v>1250</v>
      </c>
      <c r="D486" t="s">
        <v>22</v>
      </c>
      <c r="E486" t="s">
        <v>28</v>
      </c>
      <c r="F486" t="s">
        <v>52</v>
      </c>
      <c r="G486">
        <v>10</v>
      </c>
      <c r="H486">
        <v>1761</v>
      </c>
      <c r="I486">
        <v>17610</v>
      </c>
      <c r="J486" t="s">
        <v>62</v>
      </c>
      <c r="K486" t="s">
        <v>70</v>
      </c>
    </row>
    <row r="487" spans="1:11" x14ac:dyDescent="0.25">
      <c r="A487" t="s">
        <v>1251</v>
      </c>
      <c r="B487" t="s">
        <v>1252</v>
      </c>
      <c r="C487" t="s">
        <v>1253</v>
      </c>
      <c r="D487" t="s">
        <v>40</v>
      </c>
      <c r="E487" t="s">
        <v>15</v>
      </c>
      <c r="F487" t="s">
        <v>154</v>
      </c>
      <c r="G487">
        <v>12</v>
      </c>
      <c r="H487">
        <v>840</v>
      </c>
      <c r="I487">
        <v>10080</v>
      </c>
      <c r="J487" t="s">
        <v>30</v>
      </c>
      <c r="K487" t="s">
        <v>24</v>
      </c>
    </row>
    <row r="488" spans="1:11" x14ac:dyDescent="0.25">
      <c r="A488" t="s">
        <v>1254</v>
      </c>
      <c r="B488" t="s">
        <v>1255</v>
      </c>
      <c r="C488" t="s">
        <v>1256</v>
      </c>
      <c r="D488" t="s">
        <v>46</v>
      </c>
      <c r="E488" t="s">
        <v>15</v>
      </c>
      <c r="F488" t="s">
        <v>154</v>
      </c>
      <c r="G488">
        <v>17</v>
      </c>
      <c r="H488">
        <v>551</v>
      </c>
      <c r="I488">
        <v>9367</v>
      </c>
      <c r="J488" t="s">
        <v>30</v>
      </c>
      <c r="K488" t="s">
        <v>70</v>
      </c>
    </row>
    <row r="489" spans="1:11" x14ac:dyDescent="0.25">
      <c r="A489" t="s">
        <v>1257</v>
      </c>
      <c r="B489" t="s">
        <v>253</v>
      </c>
      <c r="C489" t="s">
        <v>1258</v>
      </c>
      <c r="D489" t="s">
        <v>14</v>
      </c>
      <c r="E489" t="s">
        <v>28</v>
      </c>
      <c r="F489" t="s">
        <v>29</v>
      </c>
      <c r="G489">
        <v>20</v>
      </c>
      <c r="H489">
        <v>221</v>
      </c>
      <c r="I489">
        <v>4420</v>
      </c>
      <c r="J489" t="s">
        <v>62</v>
      </c>
      <c r="K489" t="s">
        <v>24</v>
      </c>
    </row>
    <row r="490" spans="1:11" x14ac:dyDescent="0.25">
      <c r="A490" t="s">
        <v>1259</v>
      </c>
      <c r="B490" t="s">
        <v>64</v>
      </c>
      <c r="C490" t="s">
        <v>1260</v>
      </c>
      <c r="D490" t="s">
        <v>46</v>
      </c>
      <c r="E490" t="s">
        <v>28</v>
      </c>
      <c r="F490" t="s">
        <v>41</v>
      </c>
      <c r="G490">
        <v>8</v>
      </c>
      <c r="H490">
        <v>1744</v>
      </c>
      <c r="I490">
        <v>13952</v>
      </c>
      <c r="J490" t="s">
        <v>62</v>
      </c>
      <c r="K490" t="s">
        <v>48</v>
      </c>
    </row>
    <row r="491" spans="1:11" x14ac:dyDescent="0.25">
      <c r="A491" t="s">
        <v>1261</v>
      </c>
      <c r="B491" t="s">
        <v>643</v>
      </c>
      <c r="C491" t="s">
        <v>1262</v>
      </c>
      <c r="D491" t="s">
        <v>46</v>
      </c>
      <c r="E491" t="s">
        <v>15</v>
      </c>
      <c r="F491" t="s">
        <v>66</v>
      </c>
      <c r="G491">
        <v>6</v>
      </c>
      <c r="H491">
        <v>1187</v>
      </c>
      <c r="I491">
        <v>7122</v>
      </c>
      <c r="J491" t="s">
        <v>36</v>
      </c>
      <c r="K491" t="s">
        <v>42</v>
      </c>
    </row>
    <row r="492" spans="1:11" x14ac:dyDescent="0.25">
      <c r="A492" t="s">
        <v>1263</v>
      </c>
      <c r="B492" t="s">
        <v>739</v>
      </c>
      <c r="C492" t="s">
        <v>1264</v>
      </c>
      <c r="D492" t="s">
        <v>22</v>
      </c>
      <c r="E492" t="s">
        <v>15</v>
      </c>
      <c r="F492" t="s">
        <v>154</v>
      </c>
      <c r="G492">
        <v>15</v>
      </c>
      <c r="H492">
        <v>1497</v>
      </c>
      <c r="I492">
        <v>22455</v>
      </c>
      <c r="J492" t="s">
        <v>30</v>
      </c>
      <c r="K492" t="s">
        <v>24</v>
      </c>
    </row>
    <row r="493" spans="1:11" x14ac:dyDescent="0.25">
      <c r="A493" t="s">
        <v>1265</v>
      </c>
      <c r="B493" t="s">
        <v>343</v>
      </c>
      <c r="C493" t="s">
        <v>1266</v>
      </c>
      <c r="D493" t="s">
        <v>40</v>
      </c>
      <c r="E493" t="s">
        <v>57</v>
      </c>
      <c r="F493" t="s">
        <v>58</v>
      </c>
      <c r="G493">
        <v>14</v>
      </c>
      <c r="H493">
        <v>1011</v>
      </c>
      <c r="I493">
        <v>14154</v>
      </c>
      <c r="J493" t="s">
        <v>17</v>
      </c>
      <c r="K493" t="s">
        <v>77</v>
      </c>
    </row>
    <row r="494" spans="1:11" x14ac:dyDescent="0.25">
      <c r="A494" t="s">
        <v>1267</v>
      </c>
      <c r="B494" t="s">
        <v>226</v>
      </c>
      <c r="C494" t="s">
        <v>1268</v>
      </c>
      <c r="D494" t="s">
        <v>40</v>
      </c>
      <c r="E494" t="s">
        <v>34</v>
      </c>
      <c r="F494" t="s">
        <v>84</v>
      </c>
      <c r="G494">
        <v>20</v>
      </c>
      <c r="H494">
        <v>1473</v>
      </c>
      <c r="I494">
        <v>29460</v>
      </c>
      <c r="J494" t="s">
        <v>30</v>
      </c>
      <c r="K494" t="s">
        <v>24</v>
      </c>
    </row>
    <row r="495" spans="1:11" x14ac:dyDescent="0.25">
      <c r="A495" t="s">
        <v>1269</v>
      </c>
      <c r="B495" t="s">
        <v>614</v>
      </c>
      <c r="C495" t="s">
        <v>1270</v>
      </c>
      <c r="D495" t="s">
        <v>14</v>
      </c>
      <c r="E495" t="s">
        <v>15</v>
      </c>
      <c r="F495" t="s">
        <v>66</v>
      </c>
      <c r="G495">
        <v>15</v>
      </c>
      <c r="H495">
        <v>1669</v>
      </c>
      <c r="I495">
        <v>25035</v>
      </c>
      <c r="J495" t="s">
        <v>30</v>
      </c>
      <c r="K495" t="s">
        <v>70</v>
      </c>
    </row>
    <row r="496" spans="1:11" x14ac:dyDescent="0.25">
      <c r="A496" t="s">
        <v>1271</v>
      </c>
      <c r="B496" t="s">
        <v>568</v>
      </c>
      <c r="C496" t="s">
        <v>1272</v>
      </c>
      <c r="D496" t="s">
        <v>46</v>
      </c>
      <c r="E496" t="s">
        <v>28</v>
      </c>
      <c r="F496" t="s">
        <v>119</v>
      </c>
      <c r="G496">
        <v>20</v>
      </c>
      <c r="H496">
        <v>1646</v>
      </c>
      <c r="I496">
        <v>32920</v>
      </c>
      <c r="J496" t="s">
        <v>36</v>
      </c>
      <c r="K496" t="s">
        <v>24</v>
      </c>
    </row>
    <row r="497" spans="1:11" x14ac:dyDescent="0.25">
      <c r="A497" t="s">
        <v>1273</v>
      </c>
      <c r="B497" t="s">
        <v>152</v>
      </c>
      <c r="C497" t="s">
        <v>1274</v>
      </c>
      <c r="D497" t="s">
        <v>22</v>
      </c>
      <c r="E497" t="s">
        <v>34</v>
      </c>
      <c r="F497" t="s">
        <v>47</v>
      </c>
      <c r="G497">
        <v>18</v>
      </c>
      <c r="H497">
        <v>1685</v>
      </c>
      <c r="I497">
        <v>30330</v>
      </c>
      <c r="J497" t="s">
        <v>62</v>
      </c>
      <c r="K497" t="s">
        <v>53</v>
      </c>
    </row>
    <row r="498" spans="1:11" x14ac:dyDescent="0.25">
      <c r="A498" t="s">
        <v>1275</v>
      </c>
      <c r="B498" t="s">
        <v>852</v>
      </c>
      <c r="C498" t="s">
        <v>1276</v>
      </c>
      <c r="D498" t="s">
        <v>14</v>
      </c>
      <c r="E498" t="s">
        <v>34</v>
      </c>
      <c r="F498" t="s">
        <v>84</v>
      </c>
      <c r="G498">
        <v>15</v>
      </c>
      <c r="H498">
        <v>701</v>
      </c>
      <c r="I498">
        <v>10515</v>
      </c>
      <c r="J498" t="s">
        <v>62</v>
      </c>
      <c r="K498" t="s">
        <v>53</v>
      </c>
    </row>
    <row r="499" spans="1:11" x14ac:dyDescent="0.25">
      <c r="A499" t="s">
        <v>1277</v>
      </c>
      <c r="B499" t="s">
        <v>599</v>
      </c>
      <c r="C499" t="s">
        <v>1278</v>
      </c>
      <c r="D499" t="s">
        <v>46</v>
      </c>
      <c r="E499" t="s">
        <v>15</v>
      </c>
      <c r="F499" t="s">
        <v>16</v>
      </c>
      <c r="G499">
        <v>8</v>
      </c>
      <c r="H499">
        <v>1196</v>
      </c>
      <c r="I499">
        <v>9568</v>
      </c>
      <c r="J499" t="s">
        <v>62</v>
      </c>
      <c r="K499" t="s">
        <v>18</v>
      </c>
    </row>
    <row r="500" spans="1:11" x14ac:dyDescent="0.25">
      <c r="A500" t="s">
        <v>1279</v>
      </c>
      <c r="B500" t="s">
        <v>604</v>
      </c>
      <c r="C500" t="s">
        <v>1280</v>
      </c>
      <c r="D500" t="s">
        <v>40</v>
      </c>
      <c r="E500" t="s">
        <v>34</v>
      </c>
      <c r="F500" t="s">
        <v>35</v>
      </c>
      <c r="G500">
        <v>11</v>
      </c>
      <c r="H500">
        <v>1751</v>
      </c>
      <c r="I500">
        <v>19261</v>
      </c>
      <c r="J500" t="s">
        <v>17</v>
      </c>
      <c r="K500" t="s">
        <v>77</v>
      </c>
    </row>
    <row r="501" spans="1:11" x14ac:dyDescent="0.25">
      <c r="A501" t="s">
        <v>1281</v>
      </c>
      <c r="B501" t="s">
        <v>716</v>
      </c>
      <c r="C501" t="s">
        <v>1282</v>
      </c>
      <c r="D501" t="s">
        <v>14</v>
      </c>
      <c r="E501" t="s">
        <v>34</v>
      </c>
      <c r="F501" t="s">
        <v>35</v>
      </c>
      <c r="G501">
        <v>17</v>
      </c>
      <c r="H501">
        <v>472</v>
      </c>
      <c r="I501">
        <v>8024</v>
      </c>
      <c r="J501" t="s">
        <v>62</v>
      </c>
      <c r="K501" t="s">
        <v>48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5ECA-81A9-4681-847F-FE8BF540CE94}">
  <dimension ref="A1:I56"/>
  <sheetViews>
    <sheetView topLeftCell="A13" workbookViewId="0">
      <selection activeCell="A39" sqref="A39:B39"/>
    </sheetView>
  </sheetViews>
  <sheetFormatPr defaultRowHeight="15" x14ac:dyDescent="0.25"/>
  <cols>
    <col min="1" max="1" width="15" bestFit="1" customWidth="1"/>
  </cols>
  <sheetData>
    <row r="1" spans="1:9" ht="24.75" x14ac:dyDescent="0.25">
      <c r="A1" s="8" t="s">
        <v>1283</v>
      </c>
      <c r="B1" s="1"/>
    </row>
    <row r="2" spans="1:9" x14ac:dyDescent="0.25">
      <c r="A2" s="9" t="s">
        <v>1284</v>
      </c>
      <c r="B2" s="9"/>
      <c r="C2" s="9"/>
      <c r="D2" s="9"/>
      <c r="E2" s="9"/>
      <c r="F2" s="9"/>
    </row>
    <row r="3" spans="1:9" x14ac:dyDescent="0.25">
      <c r="A3" s="10" t="s">
        <v>0</v>
      </c>
      <c r="B3" s="10" t="s">
        <v>7</v>
      </c>
    </row>
    <row r="4" spans="1:9" x14ac:dyDescent="0.25">
      <c r="A4" s="11" t="s">
        <v>113</v>
      </c>
      <c r="B4" s="11">
        <f>VLOOKUP(A4,Data!A2:K501,8,0)</f>
        <v>291</v>
      </c>
    </row>
    <row r="6" spans="1:9" x14ac:dyDescent="0.25">
      <c r="A6" s="9" t="s">
        <v>1285</v>
      </c>
      <c r="B6" s="9"/>
      <c r="C6" s="9"/>
      <c r="D6" s="9"/>
      <c r="E6" s="9"/>
    </row>
    <row r="7" spans="1:9" x14ac:dyDescent="0.25">
      <c r="A7" s="10" t="s">
        <v>0</v>
      </c>
      <c r="B7" s="10" t="s">
        <v>2</v>
      </c>
      <c r="C7" s="10"/>
    </row>
    <row r="8" spans="1:9" x14ac:dyDescent="0.25">
      <c r="A8" s="11" t="s">
        <v>467</v>
      </c>
      <c r="B8" s="11" t="str">
        <f>VLOOKUP(A8,Data!A2:K501,3,0)</f>
        <v>Customer 150</v>
      </c>
      <c r="C8" s="11"/>
    </row>
    <row r="10" spans="1:9" x14ac:dyDescent="0.25">
      <c r="A10" s="9" t="s">
        <v>1294</v>
      </c>
      <c r="B10" s="9"/>
      <c r="C10" s="9"/>
      <c r="D10" s="9"/>
      <c r="E10" s="9"/>
    </row>
    <row r="11" spans="1:9" x14ac:dyDescent="0.25">
      <c r="A11" s="10" t="s">
        <v>0</v>
      </c>
      <c r="B11" s="10" t="s">
        <v>3</v>
      </c>
    </row>
    <row r="12" spans="1:9" x14ac:dyDescent="0.25">
      <c r="A12" s="11" t="s">
        <v>11</v>
      </c>
      <c r="B12" s="11" t="str">
        <f>VLOOKUP(A12,Data!A2:H501,4,0)</f>
        <v>West</v>
      </c>
    </row>
    <row r="14" spans="1:9" ht="24.75" x14ac:dyDescent="0.5">
      <c r="A14" s="12" t="s">
        <v>1295</v>
      </c>
      <c r="B14" s="13"/>
    </row>
    <row r="15" spans="1:9" x14ac:dyDescent="0.25">
      <c r="A15" s="9" t="s">
        <v>1296</v>
      </c>
      <c r="B15" s="9"/>
      <c r="C15" s="9"/>
      <c r="D15" s="9"/>
      <c r="E15" s="9"/>
      <c r="F15" s="9"/>
      <c r="G15" s="9"/>
      <c r="H15" s="9"/>
      <c r="I15" s="9"/>
    </row>
    <row r="16" spans="1:9" x14ac:dyDescent="0.25">
      <c r="A16" s="10" t="s">
        <v>4</v>
      </c>
      <c r="B16" s="11" t="str">
        <f>HLOOKUP(A16,Data!A1:K1,1,0)</f>
        <v>Product Category</v>
      </c>
      <c r="C16" s="11"/>
    </row>
    <row r="18" spans="1:8" x14ac:dyDescent="0.25">
      <c r="A18" s="9" t="s">
        <v>1297</v>
      </c>
      <c r="B18" s="9"/>
      <c r="C18" s="9"/>
      <c r="D18" s="9"/>
      <c r="E18" s="9"/>
      <c r="F18" s="9"/>
      <c r="G18" s="9"/>
      <c r="H18" s="9"/>
    </row>
    <row r="19" spans="1:8" x14ac:dyDescent="0.25">
      <c r="A19" s="10" t="s">
        <v>1298</v>
      </c>
      <c r="B19" s="11" t="str">
        <f>HLOOKUP(A19,Data!A1:K1,1,0)</f>
        <v>Payment Mode</v>
      </c>
      <c r="C19" s="11"/>
    </row>
    <row r="21" spans="1:8" ht="18" x14ac:dyDescent="0.25">
      <c r="A21" s="14" t="s">
        <v>1299</v>
      </c>
      <c r="B21" s="13"/>
      <c r="C21" s="13"/>
    </row>
    <row r="22" spans="1:8" ht="15.75" x14ac:dyDescent="0.3">
      <c r="A22" s="15" t="s">
        <v>1300</v>
      </c>
      <c r="B22" s="16"/>
    </row>
    <row r="23" spans="1:8" x14ac:dyDescent="0.25">
      <c r="A23" s="10" t="s">
        <v>8</v>
      </c>
      <c r="B23" s="11">
        <f>SUM(A23,Data!I2:I501)</f>
        <v>5500361</v>
      </c>
    </row>
    <row r="25" spans="1:8" x14ac:dyDescent="0.25">
      <c r="A25" s="9" t="s">
        <v>1301</v>
      </c>
      <c r="B25" s="9"/>
      <c r="C25" s="9"/>
    </row>
    <row r="26" spans="1:8" ht="15.75" x14ac:dyDescent="0.3">
      <c r="A26" s="15" t="s">
        <v>1302</v>
      </c>
      <c r="B26" s="16"/>
      <c r="C26" s="16"/>
    </row>
    <row r="27" spans="1:8" x14ac:dyDescent="0.25">
      <c r="A27" s="10" t="s">
        <v>1303</v>
      </c>
      <c r="B27" s="11">
        <f>COUNT(Data!A2:H501)</f>
        <v>1000</v>
      </c>
    </row>
    <row r="28" spans="1:8" x14ac:dyDescent="0.25">
      <c r="A28" s="10" t="s">
        <v>1304</v>
      </c>
      <c r="B28" s="11">
        <f>COUNT(Data!A2:K501)</f>
        <v>1500</v>
      </c>
    </row>
    <row r="30" spans="1:8" x14ac:dyDescent="0.25">
      <c r="A30" s="9" t="s">
        <v>1305</v>
      </c>
      <c r="B30" s="9"/>
      <c r="C30" s="9"/>
    </row>
    <row r="31" spans="1:8" ht="15.75" x14ac:dyDescent="0.3">
      <c r="A31" s="15" t="s">
        <v>1306</v>
      </c>
    </row>
    <row r="32" spans="1:8" x14ac:dyDescent="0.25">
      <c r="A32" s="10" t="s">
        <v>1307</v>
      </c>
      <c r="B32" s="11">
        <f>MAX(Data!I2:I501)</f>
        <v>37400</v>
      </c>
    </row>
    <row r="34" spans="1:5" x14ac:dyDescent="0.25">
      <c r="A34" s="9" t="s">
        <v>1308</v>
      </c>
      <c r="B34" s="9"/>
      <c r="C34" s="9"/>
    </row>
    <row r="35" spans="1:5" ht="15.75" x14ac:dyDescent="0.3">
      <c r="A35" s="15" t="s">
        <v>1309</v>
      </c>
      <c r="B35" s="16"/>
    </row>
    <row r="36" spans="1:5" x14ac:dyDescent="0.25">
      <c r="A36" s="10" t="s">
        <v>1310</v>
      </c>
      <c r="B36" s="11">
        <f>AVERAGE(Data!I2:I501)</f>
        <v>11000.722</v>
      </c>
    </row>
    <row r="38" spans="1:5" x14ac:dyDescent="0.25">
      <c r="A38" s="9" t="s">
        <v>1311</v>
      </c>
      <c r="B38" s="9"/>
      <c r="C38" s="9"/>
      <c r="D38" s="9"/>
    </row>
    <row r="39" spans="1:5" ht="15.75" x14ac:dyDescent="0.3">
      <c r="A39" s="15" t="s">
        <v>1312</v>
      </c>
      <c r="B39" s="16"/>
    </row>
    <row r="40" spans="1:5" x14ac:dyDescent="0.25">
      <c r="A40" s="10" t="s">
        <v>36</v>
      </c>
      <c r="B40" s="11">
        <f>COUNTIF(Data!J2:J501,A40)</f>
        <v>130</v>
      </c>
    </row>
    <row r="42" spans="1:5" x14ac:dyDescent="0.25">
      <c r="A42" s="9" t="s">
        <v>1313</v>
      </c>
      <c r="B42" s="9"/>
      <c r="C42" s="9"/>
      <c r="D42" s="9"/>
      <c r="E42" s="9"/>
    </row>
    <row r="43" spans="1:5" ht="15.75" x14ac:dyDescent="0.3">
      <c r="A43" s="6" t="s">
        <v>1314</v>
      </c>
    </row>
    <row r="44" spans="1:5" x14ac:dyDescent="0.25">
      <c r="A44" s="10" t="s">
        <v>0</v>
      </c>
      <c r="B44" s="11" t="s">
        <v>5</v>
      </c>
      <c r="C44" s="11"/>
    </row>
    <row r="45" spans="1:5" x14ac:dyDescent="0.25">
      <c r="A45" s="10" t="s">
        <v>1315</v>
      </c>
      <c r="B45" s="11" t="str">
        <f>INDEX(Data!E2:E501,MATCH(Data!A2,Data!A2:A501,0))</f>
        <v>Furniture</v>
      </c>
      <c r="C45" s="11"/>
    </row>
    <row r="47" spans="1:5" ht="18" x14ac:dyDescent="0.25">
      <c r="A47" s="14" t="s">
        <v>1316</v>
      </c>
      <c r="B47" s="13"/>
      <c r="C47" s="13"/>
    </row>
    <row r="48" spans="1:5" x14ac:dyDescent="0.25">
      <c r="A48" s="9" t="s">
        <v>1317</v>
      </c>
      <c r="B48" s="9"/>
      <c r="C48" s="9"/>
    </row>
    <row r="49" spans="1:4" x14ac:dyDescent="0.25">
      <c r="A49" s="10" t="s">
        <v>2</v>
      </c>
      <c r="B49" s="11" t="str">
        <f>VLOOKUP(A2,Data!A2:K501,3,1)</f>
        <v>Customer 500</v>
      </c>
      <c r="C49" s="11"/>
    </row>
    <row r="50" spans="1:4" x14ac:dyDescent="0.25">
      <c r="A50" s="10" t="s">
        <v>3</v>
      </c>
      <c r="B50" s="11" t="str">
        <f>VLOOKUP(A2,Data!A2:K501,4,1)</f>
        <v>West</v>
      </c>
      <c r="C50" s="11"/>
    </row>
    <row r="51" spans="1:4" x14ac:dyDescent="0.25">
      <c r="A51" s="10" t="s">
        <v>8</v>
      </c>
      <c r="B51" s="11">
        <f>VLOOKUP(A2,Data!A2:K501,9,1)</f>
        <v>8024</v>
      </c>
      <c r="C51" s="11"/>
    </row>
    <row r="52" spans="1:4" x14ac:dyDescent="0.25">
      <c r="A52" s="10" t="s">
        <v>1318</v>
      </c>
      <c r="B52" s="10"/>
      <c r="C52" s="10"/>
      <c r="D52" s="11" t="str">
        <f>IF(I2&gt;15000,"High",IF(I2&gt;=8000,"Medium","Low"))</f>
        <v>Low</v>
      </c>
    </row>
    <row r="53" spans="1:4" x14ac:dyDescent="0.25">
      <c r="A53" s="7"/>
    </row>
    <row r="54" spans="1:4" x14ac:dyDescent="0.25">
      <c r="A54" s="9" t="s">
        <v>1319</v>
      </c>
      <c r="B54" s="9"/>
      <c r="C54" s="9"/>
      <c r="D54" s="9"/>
    </row>
    <row r="55" spans="1:4" x14ac:dyDescent="0.25">
      <c r="A55" s="10" t="s">
        <v>1320</v>
      </c>
      <c r="B55" s="10"/>
      <c r="C55" s="10"/>
      <c r="D55" s="11" t="b">
        <f>$I2&gt;15000</f>
        <v>0</v>
      </c>
    </row>
    <row r="56" spans="1:4" x14ac:dyDescent="0.25">
      <c r="A56"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B06B-6597-4C73-8FFD-86F90CD1488C}">
  <dimension ref="A2:K31"/>
  <sheetViews>
    <sheetView workbookViewId="0">
      <selection activeCell="B9" sqref="B9"/>
    </sheetView>
  </sheetViews>
  <sheetFormatPr defaultRowHeight="15" x14ac:dyDescent="0.25"/>
  <cols>
    <col min="1" max="1" width="13.140625" bestFit="1" customWidth="1"/>
    <col min="2" max="2" width="17.28515625" bestFit="1" customWidth="1"/>
    <col min="5" max="5" width="13.140625" bestFit="1" customWidth="1"/>
    <col min="6" max="6" width="17.28515625" bestFit="1" customWidth="1"/>
    <col min="7" max="8" width="10.42578125" bestFit="1" customWidth="1"/>
    <col min="9" max="9" width="13.140625" bestFit="1" customWidth="1"/>
    <col min="10" max="10" width="17.28515625" bestFit="1" customWidth="1"/>
    <col min="11" max="11" width="16.28515625" bestFit="1" customWidth="1"/>
    <col min="12" max="16" width="10.42578125" bestFit="1" customWidth="1"/>
    <col min="17" max="17" width="11.28515625" bestFit="1" customWidth="1"/>
  </cols>
  <sheetData>
    <row r="2" spans="1:11" x14ac:dyDescent="0.25">
      <c r="A2" s="2" t="s">
        <v>1286</v>
      </c>
      <c r="B2" t="s">
        <v>1288</v>
      </c>
      <c r="E2" s="2" t="s">
        <v>1286</v>
      </c>
      <c r="F2" t="s">
        <v>1288</v>
      </c>
      <c r="I2" s="2" t="s">
        <v>1286</v>
      </c>
      <c r="J2" t="s">
        <v>1288</v>
      </c>
      <c r="K2" t="s">
        <v>1289</v>
      </c>
    </row>
    <row r="3" spans="1:11" x14ac:dyDescent="0.25">
      <c r="A3" s="3" t="s">
        <v>46</v>
      </c>
      <c r="B3" s="28">
        <v>1348379</v>
      </c>
      <c r="E3" s="3" t="s">
        <v>480</v>
      </c>
      <c r="F3" s="28">
        <v>46387</v>
      </c>
      <c r="I3" s="3" t="s">
        <v>62</v>
      </c>
      <c r="J3" s="28">
        <v>1375570</v>
      </c>
      <c r="K3" s="28">
        <v>127214</v>
      </c>
    </row>
    <row r="4" spans="1:11" x14ac:dyDescent="0.25">
      <c r="A4" s="3" t="s">
        <v>22</v>
      </c>
      <c r="B4" s="28">
        <v>1759806</v>
      </c>
      <c r="E4" s="3" t="s">
        <v>179</v>
      </c>
      <c r="F4" s="28">
        <v>20966</v>
      </c>
      <c r="I4" s="3" t="s">
        <v>17</v>
      </c>
      <c r="J4" s="28">
        <v>1519135</v>
      </c>
      <c r="K4" s="28">
        <v>141720</v>
      </c>
    </row>
    <row r="5" spans="1:11" x14ac:dyDescent="0.25">
      <c r="A5" s="3" t="s">
        <v>40</v>
      </c>
      <c r="B5" s="28">
        <v>1238570</v>
      </c>
      <c r="E5" s="3" t="s">
        <v>832</v>
      </c>
      <c r="F5" s="28">
        <v>3006</v>
      </c>
      <c r="I5" s="3" t="s">
        <v>30</v>
      </c>
      <c r="J5" s="28">
        <v>1292752</v>
      </c>
      <c r="K5" s="28">
        <v>117392</v>
      </c>
    </row>
    <row r="6" spans="1:11" x14ac:dyDescent="0.25">
      <c r="A6" s="3" t="s">
        <v>14</v>
      </c>
      <c r="B6" s="28">
        <v>1153606</v>
      </c>
      <c r="E6" s="3" t="s">
        <v>98</v>
      </c>
      <c r="F6" s="28">
        <v>34663</v>
      </c>
      <c r="I6" s="3" t="s">
        <v>36</v>
      </c>
      <c r="J6" s="28">
        <v>1312904</v>
      </c>
      <c r="K6" s="28">
        <v>125725</v>
      </c>
    </row>
    <row r="7" spans="1:11" x14ac:dyDescent="0.25">
      <c r="A7" s="3" t="s">
        <v>1287</v>
      </c>
      <c r="B7" s="28">
        <v>5500361</v>
      </c>
      <c r="E7" s="3" t="s">
        <v>305</v>
      </c>
      <c r="F7" s="28">
        <v>1858</v>
      </c>
      <c r="I7" s="3" t="s">
        <v>1287</v>
      </c>
      <c r="J7" s="28">
        <v>5500361</v>
      </c>
      <c r="K7" s="28">
        <v>512051</v>
      </c>
    </row>
    <row r="8" spans="1:11" x14ac:dyDescent="0.25">
      <c r="E8" s="3" t="s">
        <v>643</v>
      </c>
      <c r="F8" s="28">
        <v>8055</v>
      </c>
    </row>
    <row r="9" spans="1:11" x14ac:dyDescent="0.25">
      <c r="E9" s="3" t="s">
        <v>299</v>
      </c>
      <c r="F9" s="28">
        <v>20968</v>
      </c>
    </row>
    <row r="10" spans="1:11" x14ac:dyDescent="0.25">
      <c r="A10" s="3"/>
      <c r="E10" s="3" t="s">
        <v>713</v>
      </c>
      <c r="F10" s="28">
        <v>31828</v>
      </c>
      <c r="I10" s="2" t="s">
        <v>1286</v>
      </c>
      <c r="J10" t="s">
        <v>1289</v>
      </c>
    </row>
    <row r="11" spans="1:11" x14ac:dyDescent="0.25">
      <c r="A11" s="3"/>
      <c r="E11" s="3" t="s">
        <v>752</v>
      </c>
      <c r="F11" s="28">
        <v>16970</v>
      </c>
      <c r="I11" s="3" t="s">
        <v>46</v>
      </c>
      <c r="J11" s="28">
        <v>117432</v>
      </c>
    </row>
    <row r="12" spans="1:11" x14ac:dyDescent="0.25">
      <c r="A12" s="3"/>
      <c r="E12" s="3" t="s">
        <v>739</v>
      </c>
      <c r="F12" s="28">
        <v>40902</v>
      </c>
      <c r="I12" s="4" t="s">
        <v>34</v>
      </c>
      <c r="J12" s="28">
        <v>27203</v>
      </c>
    </row>
    <row r="13" spans="1:11" x14ac:dyDescent="0.25">
      <c r="A13" s="3"/>
      <c r="E13" s="3" t="s">
        <v>722</v>
      </c>
      <c r="F13" s="28">
        <v>38259</v>
      </c>
      <c r="I13" s="4" t="s">
        <v>57</v>
      </c>
      <c r="J13" s="28">
        <v>23186</v>
      </c>
    </row>
    <row r="14" spans="1:11" x14ac:dyDescent="0.25">
      <c r="E14" s="3" t="s">
        <v>1287</v>
      </c>
      <c r="F14" s="28">
        <v>263862</v>
      </c>
      <c r="I14" s="4" t="s">
        <v>15</v>
      </c>
      <c r="J14" s="28">
        <v>33823</v>
      </c>
    </row>
    <row r="15" spans="1:11" x14ac:dyDescent="0.25">
      <c r="I15" s="4" t="s">
        <v>28</v>
      </c>
      <c r="J15" s="28">
        <v>33220</v>
      </c>
    </row>
    <row r="16" spans="1:11" x14ac:dyDescent="0.25">
      <c r="I16" s="3" t="s">
        <v>22</v>
      </c>
      <c r="J16" s="28">
        <v>154506</v>
      </c>
    </row>
    <row r="17" spans="1:10" x14ac:dyDescent="0.25">
      <c r="I17" s="4" t="s">
        <v>34</v>
      </c>
      <c r="J17" s="28">
        <v>29416</v>
      </c>
    </row>
    <row r="18" spans="1:10" x14ac:dyDescent="0.25">
      <c r="I18" s="4" t="s">
        <v>57</v>
      </c>
      <c r="J18" s="28">
        <v>42552</v>
      </c>
    </row>
    <row r="19" spans="1:10" x14ac:dyDescent="0.25">
      <c r="I19" s="4" t="s">
        <v>15</v>
      </c>
      <c r="J19" s="28">
        <v>37087</v>
      </c>
    </row>
    <row r="20" spans="1:10" x14ac:dyDescent="0.25">
      <c r="A20" s="2" t="s">
        <v>1286</v>
      </c>
      <c r="B20" t="s">
        <v>1288</v>
      </c>
      <c r="E20" s="2" t="s">
        <v>1286</v>
      </c>
      <c r="F20" t="s">
        <v>1288</v>
      </c>
      <c r="I20" s="4" t="s">
        <v>28</v>
      </c>
      <c r="J20" s="28">
        <v>45451</v>
      </c>
    </row>
    <row r="21" spans="1:10" x14ac:dyDescent="0.25">
      <c r="A21" s="3" t="s">
        <v>34</v>
      </c>
      <c r="B21" s="28">
        <v>1186491</v>
      </c>
      <c r="E21" s="3" t="s">
        <v>53</v>
      </c>
      <c r="F21" s="28">
        <v>859982</v>
      </c>
      <c r="I21" s="3" t="s">
        <v>40</v>
      </c>
      <c r="J21" s="28">
        <v>113397</v>
      </c>
    </row>
    <row r="22" spans="1:10" x14ac:dyDescent="0.25">
      <c r="A22" s="3" t="s">
        <v>57</v>
      </c>
      <c r="B22" s="28">
        <v>1364890</v>
      </c>
      <c r="E22" s="3" t="s">
        <v>24</v>
      </c>
      <c r="F22" s="28">
        <v>818227</v>
      </c>
      <c r="I22" s="4" t="s">
        <v>34</v>
      </c>
      <c r="J22" s="28">
        <v>19406</v>
      </c>
    </row>
    <row r="23" spans="1:10" x14ac:dyDescent="0.25">
      <c r="A23" s="3" t="s">
        <v>15</v>
      </c>
      <c r="B23" s="28">
        <v>1348565</v>
      </c>
      <c r="E23" s="3" t="s">
        <v>48</v>
      </c>
      <c r="F23" s="28">
        <v>692443</v>
      </c>
      <c r="I23" s="4" t="s">
        <v>57</v>
      </c>
      <c r="J23" s="28">
        <v>32711</v>
      </c>
    </row>
    <row r="24" spans="1:10" x14ac:dyDescent="0.25">
      <c r="A24" s="3" t="s">
        <v>28</v>
      </c>
      <c r="B24" s="28">
        <v>1600415</v>
      </c>
      <c r="E24" s="3" t="s">
        <v>77</v>
      </c>
      <c r="F24" s="28">
        <v>638241</v>
      </c>
      <c r="I24" s="4" t="s">
        <v>15</v>
      </c>
      <c r="J24" s="28">
        <v>27552</v>
      </c>
    </row>
    <row r="25" spans="1:10" x14ac:dyDescent="0.25">
      <c r="A25" s="3" t="s">
        <v>1287</v>
      </c>
      <c r="B25" s="28">
        <v>5500361</v>
      </c>
      <c r="E25" s="3" t="s">
        <v>42</v>
      </c>
      <c r="F25" s="28">
        <v>900122</v>
      </c>
      <c r="I25" s="4" t="s">
        <v>28</v>
      </c>
      <c r="J25" s="28">
        <v>33728</v>
      </c>
    </row>
    <row r="26" spans="1:10" x14ac:dyDescent="0.25">
      <c r="E26" s="3" t="s">
        <v>70</v>
      </c>
      <c r="F26" s="28">
        <v>711013</v>
      </c>
      <c r="I26" s="3" t="s">
        <v>14</v>
      </c>
      <c r="J26" s="28">
        <v>126716</v>
      </c>
    </row>
    <row r="27" spans="1:10" x14ac:dyDescent="0.25">
      <c r="E27" s="3" t="s">
        <v>18</v>
      </c>
      <c r="F27" s="28">
        <v>880333</v>
      </c>
      <c r="I27" s="4" t="s">
        <v>34</v>
      </c>
      <c r="J27" s="28">
        <v>30052</v>
      </c>
    </row>
    <row r="28" spans="1:10" x14ac:dyDescent="0.25">
      <c r="E28" s="3" t="s">
        <v>1287</v>
      </c>
      <c r="F28" s="28">
        <v>5500361</v>
      </c>
      <c r="I28" s="4" t="s">
        <v>57</v>
      </c>
      <c r="J28" s="28">
        <v>25968</v>
      </c>
    </row>
    <row r="29" spans="1:10" x14ac:dyDescent="0.25">
      <c r="I29" s="4" t="s">
        <v>15</v>
      </c>
      <c r="J29" s="28">
        <v>32228</v>
      </c>
    </row>
    <row r="30" spans="1:10" x14ac:dyDescent="0.25">
      <c r="I30" s="4" t="s">
        <v>28</v>
      </c>
      <c r="J30" s="28">
        <v>38468</v>
      </c>
    </row>
    <row r="31" spans="1:10" x14ac:dyDescent="0.25">
      <c r="I31" s="3" t="s">
        <v>1287</v>
      </c>
      <c r="J31" s="28">
        <v>512051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45D4-BBA1-45C8-B896-DAE5207E69C0}">
  <dimension ref="B1:L3"/>
  <sheetViews>
    <sheetView tabSelected="1" workbookViewId="0">
      <selection activeCell="J2" sqref="J2:L3"/>
    </sheetView>
  </sheetViews>
  <sheetFormatPr defaultRowHeight="15" x14ac:dyDescent="0.25"/>
  <cols>
    <col min="1" max="2" width="9.140625" style="5"/>
    <col min="3" max="3" width="12.140625" style="5" customWidth="1"/>
    <col min="4" max="4" width="20.42578125" style="5" bestFit="1" customWidth="1"/>
    <col min="5" max="5" width="9.140625" style="5"/>
    <col min="6" max="6" width="9.7109375" style="5" customWidth="1"/>
    <col min="7" max="16384" width="9.140625" style="5"/>
  </cols>
  <sheetData>
    <row r="1" spans="2:12" ht="23.25" x14ac:dyDescent="0.35">
      <c r="B1" s="20" t="s">
        <v>1290</v>
      </c>
      <c r="C1" s="21"/>
      <c r="D1" s="22" t="s">
        <v>1291</v>
      </c>
      <c r="E1" s="23"/>
      <c r="F1" s="18" t="s">
        <v>1292</v>
      </c>
      <c r="G1" s="18"/>
      <c r="H1" s="18"/>
      <c r="I1" s="18"/>
      <c r="J1" s="17" t="s">
        <v>1293</v>
      </c>
      <c r="K1" s="17"/>
      <c r="L1" s="17"/>
    </row>
    <row r="2" spans="2:12" ht="15" customHeight="1" x14ac:dyDescent="0.25">
      <c r="B2" s="24">
        <f>SUM(Data!I1:I501)</f>
        <v>5500361</v>
      </c>
      <c r="C2" s="25"/>
      <c r="D2" s="22">
        <f>COUNTA(Data!A2:A501)</f>
        <v>500</v>
      </c>
      <c r="E2" s="23"/>
      <c r="F2" s="19">
        <f>AVERAGE(Data!I1:I501)</f>
        <v>11000.722</v>
      </c>
      <c r="G2" s="19"/>
      <c r="H2" s="19"/>
      <c r="I2" s="19"/>
      <c r="J2" s="17" t="str">
        <f>INDEX(Data!K2:K501,MATCH(MAX(Data!I2:I501),Data!I2:I501,0))</f>
        <v>Rahul</v>
      </c>
      <c r="K2" s="17"/>
      <c r="L2" s="17"/>
    </row>
    <row r="3" spans="2:12" ht="15" customHeight="1" x14ac:dyDescent="0.25">
      <c r="B3" s="26"/>
      <c r="C3" s="27"/>
      <c r="D3" s="22"/>
      <c r="E3" s="23"/>
      <c r="F3" s="19"/>
      <c r="G3" s="19"/>
      <c r="H3" s="19"/>
      <c r="I3" s="19"/>
      <c r="J3" s="17"/>
      <c r="K3" s="17"/>
      <c r="L3" s="17"/>
    </row>
  </sheetData>
  <mergeCells count="8">
    <mergeCell ref="J1:L1"/>
    <mergeCell ref="J2:L3"/>
    <mergeCell ref="B2:C3"/>
    <mergeCell ref="B1:C1"/>
    <mergeCell ref="D2:E3"/>
    <mergeCell ref="D1:E1"/>
    <mergeCell ref="F1:I1"/>
    <mergeCell ref="F2:I3"/>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65D30DBF-902E-410D-B544-74862F4B8494}">
            <x14:iconSet iconSet="5Boxes">
              <x14:cfvo type="percent">
                <xm:f>0</xm:f>
              </x14:cfvo>
              <x14:cfvo type="percent">
                <xm:f>20</xm:f>
              </x14:cfvo>
              <x14:cfvo type="percent">
                <xm:f>40</xm:f>
              </x14:cfvo>
              <x14:cfvo type="percent">
                <xm:f>60</xm:f>
              </x14:cfvo>
              <x14:cfvo type="percent">
                <xm:f>80</xm:f>
              </x14:cfvo>
            </x14:iconSet>
          </x14:cfRule>
          <xm:sqref>B1:L3</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CEEAD5-A58F-4EC7-A5F3-9E1CCDBF0F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Function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 KUMARI</cp:lastModifiedBy>
  <dcterms:created xsi:type="dcterms:W3CDTF">2025-12-12T17:09:27Z</dcterms:created>
  <dcterms:modified xsi:type="dcterms:W3CDTF">2025-12-16T20:03:23Z</dcterms:modified>
</cp:coreProperties>
</file>