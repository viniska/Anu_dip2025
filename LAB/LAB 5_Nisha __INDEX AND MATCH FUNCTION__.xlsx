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50" windowWidth="14355" windowHeight="6735"/>
  </bookViews>
  <sheets>
    <sheet name="Sales data" sheetId="1" r:id="rId1"/>
  </sheets>
  <calcPr calcId="144525"/>
</workbook>
</file>

<file path=xl/calcChain.xml><?xml version="1.0" encoding="utf-8"?>
<calcChain xmlns="http://schemas.openxmlformats.org/spreadsheetml/2006/main">
  <c r="F18" i="1" l="1"/>
  <c r="F14" i="1"/>
  <c r="B23" i="1"/>
  <c r="F11" i="1" l="1"/>
  <c r="B20" i="1"/>
  <c r="B17" i="1" l="1"/>
  <c r="B11" i="1"/>
  <c r="B14" i="1"/>
</calcChain>
</file>

<file path=xl/sharedStrings.xml><?xml version="1.0" encoding="utf-8"?>
<sst xmlns="http://schemas.openxmlformats.org/spreadsheetml/2006/main" count="44" uniqueCount="29">
  <si>
    <t>Products ID</t>
  </si>
  <si>
    <t>Product</t>
  </si>
  <si>
    <t>Category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</si>
  <si>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</si>
  <si>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</si>
  <si>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</si>
  <si>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</si>
  <si>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</si>
  <si>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</si>
  <si>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</si>
  <si>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</si>
  <si>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</si>
  <si>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JAN</t>
  </si>
  <si>
    <t>FEB</t>
  </si>
  <si>
    <t>MAR</t>
  </si>
  <si>
    <t>APR</t>
  </si>
  <si>
    <t>MAY</t>
  </si>
  <si>
    <t>1.SALES</t>
  </si>
  <si>
    <t>3.MAX SALES</t>
  </si>
  <si>
    <t>Max Sales</t>
  </si>
  <si>
    <t>Avg Sales</t>
  </si>
  <si>
    <t>PRODUCT D</t>
  </si>
  <si>
    <t>7. SALES</t>
  </si>
  <si>
    <t>LAB 5 [INDEX AND MATCH]</t>
  </si>
  <si>
    <t>2.FIND</t>
  </si>
  <si>
    <t>4.MONTH</t>
  </si>
  <si>
    <t>5.SUM OF SL</t>
  </si>
  <si>
    <t>6.CAL</t>
  </si>
  <si>
    <t>8.DYNAMIC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</si>
</sst>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10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I15" sqref="I15"/>
    </sheetView>
  </sheetViews>
  <sheetFormatPr defaultRowHeight="15" x14ac:dyDescent="0.25"/>
  <cols>
    <col min="1" max="1" width="12" customWidth="1"/>
    <col min="2" max="2" width="10.7109375" customWidth="1"/>
    <col min="3" max="3" width="11.28515625" customWidth="1"/>
    <col min="5" max="5" width="12.7109375" customWidth="1"/>
  </cols>
  <sheetData>
    <row r="1" spans="1:8" ht="28.5" x14ac:dyDescent="0.45">
      <c r="A1" s="16" t="s">
        <v>23</v>
      </c>
      <c r="B1" s="16"/>
      <c r="C1" s="16"/>
      <c r="D1" s="16"/>
      <c r="E1" s="16"/>
      <c r="F1" s="16"/>
      <c r="G1" s="16"/>
      <c r="H1" s="16"/>
    </row>
    <row r="2" spans="1:8" x14ac:dyDescent="0.25">
      <c r="A2" s="14" t="s">
        <v>0</v>
      </c>
      <c r="B2" s="15" t="s">
        <v>1</v>
      </c>
      <c r="C2" s="15" t="s">
        <v>2</v>
      </c>
      <c r="D2" s="15" t="s">
        <v>12</v>
      </c>
      <c r="E2" s="15" t="s">
        <v>13</v>
      </c>
      <c r="F2" s="15" t="s">
        <v>14</v>
      </c>
      <c r="G2" s="15" t="s">
        <v>15</v>
      </c>
      <c r="H2" s="15" t="s">
        <v>16</v>
      </c>
    </row>
    <row r="3" spans="1:8" x14ac:dyDescent="0.25">
      <c r="A3" s="6">
        <v>101</v>
      </c>
      <c r="B3" s="7" t="s">
        <v>3</v>
      </c>
      <c r="C3" s="8" t="s">
        <v>4</v>
      </c>
      <c r="D3" s="1">
        <v>120</v>
      </c>
      <c r="E3" s="2">
        <v>130</v>
      </c>
      <c r="F3" s="3">
        <v>140</v>
      </c>
      <c r="G3" s="4">
        <v>150</v>
      </c>
      <c r="H3" s="5">
        <v>160</v>
      </c>
    </row>
    <row r="4" spans="1:8" x14ac:dyDescent="0.25">
      <c r="A4" s="6">
        <v>102</v>
      </c>
      <c r="B4" s="7" t="s">
        <v>5</v>
      </c>
      <c r="C4" s="8" t="s">
        <v>6</v>
      </c>
      <c r="D4" s="1">
        <v>150</v>
      </c>
      <c r="E4" s="2">
        <v>160</v>
      </c>
      <c r="F4" s="3">
        <v>170</v>
      </c>
      <c r="G4" s="4">
        <v>180</v>
      </c>
      <c r="H4" s="5">
        <v>190</v>
      </c>
    </row>
    <row r="5" spans="1:8" x14ac:dyDescent="0.25">
      <c r="A5" s="6">
        <v>103</v>
      </c>
      <c r="B5" s="7" t="s">
        <v>7</v>
      </c>
      <c r="C5" s="8" t="s">
        <v>4</v>
      </c>
      <c r="D5" s="1">
        <v>200</v>
      </c>
      <c r="E5" s="2">
        <v>210</v>
      </c>
      <c r="F5" s="3">
        <v>220</v>
      </c>
      <c r="G5" s="4">
        <v>230</v>
      </c>
      <c r="H5" s="5">
        <v>240</v>
      </c>
    </row>
    <row r="6" spans="1:8" x14ac:dyDescent="0.25">
      <c r="A6" s="6">
        <v>104</v>
      </c>
      <c r="B6" s="7" t="s">
        <v>8</v>
      </c>
      <c r="C6" s="8" t="s">
        <v>9</v>
      </c>
      <c r="D6" s="1">
        <v>90</v>
      </c>
      <c r="E6" s="2">
        <v>100</v>
      </c>
      <c r="F6" s="3">
        <v>110</v>
      </c>
      <c r="G6" s="4">
        <v>120</v>
      </c>
      <c r="H6" s="5">
        <v>130</v>
      </c>
    </row>
    <row r="7" spans="1:8" x14ac:dyDescent="0.25">
      <c r="A7" s="6">
        <v>105</v>
      </c>
      <c r="B7" s="7" t="s">
        <v>10</v>
      </c>
      <c r="C7" s="8" t="s">
        <v>6</v>
      </c>
      <c r="D7" s="1">
        <v>220</v>
      </c>
      <c r="E7" s="2">
        <v>230</v>
      </c>
      <c r="F7" s="3">
        <v>240</v>
      </c>
      <c r="G7" s="4">
        <v>250</v>
      </c>
      <c r="H7" s="5">
        <v>260</v>
      </c>
    </row>
    <row r="8" spans="1:8" x14ac:dyDescent="0.25">
      <c r="A8" s="6">
        <v>106</v>
      </c>
      <c r="B8" s="7" t="s">
        <v>11</v>
      </c>
      <c r="C8" s="8" t="s">
        <v>4</v>
      </c>
      <c r="D8" s="1">
        <v>130</v>
      </c>
      <c r="E8" s="2">
        <v>140</v>
      </c>
      <c r="F8" s="3">
        <v>150</v>
      </c>
      <c r="G8" s="4">
        <v>160</v>
      </c>
      <c r="H8" s="5">
        <v>170</v>
      </c>
    </row>
    <row r="10" spans="1:8" x14ac:dyDescent="0.25">
      <c r="A10" s="9" t="s">
        <v>17</v>
      </c>
      <c r="B10" s="10" t="s">
        <v>14</v>
      </c>
      <c r="C10" s="12"/>
      <c r="D10" s="12"/>
      <c r="E10" s="9" t="s">
        <v>27</v>
      </c>
      <c r="F10" s="10" t="s">
        <v>20</v>
      </c>
      <c r="G10" s="12"/>
    </row>
    <row r="11" spans="1:8" x14ac:dyDescent="0.25">
      <c r="A11" s="10" t="s">
        <v>7</v>
      </c>
      <c r="B11" s="9">
        <f>INDEX(D2:H8,MATCH(A11,B2:B8,0),MATCH(B10,D2:H2,0))</f>
        <v>220</v>
      </c>
      <c r="C11" s="12"/>
      <c r="D11" s="12"/>
      <c r="E11" s="10" t="s">
        <v>21</v>
      </c>
      <c r="F11" s="9">
        <f>AVERAGE(INDEX(D2:H8,MATCH(E11,B2:B8,0),))</f>
        <v>110</v>
      </c>
      <c r="G11" s="12"/>
    </row>
    <row r="12" spans="1:8" x14ac:dyDescent="0.25">
      <c r="A12" s="12"/>
      <c r="B12" s="12"/>
      <c r="C12" s="12"/>
      <c r="D12" s="12"/>
      <c r="E12" s="12"/>
      <c r="F12" s="12"/>
      <c r="G12" s="12"/>
    </row>
    <row r="13" spans="1:8" x14ac:dyDescent="0.25">
      <c r="A13" s="9" t="s">
        <v>24</v>
      </c>
      <c r="B13" s="10" t="s">
        <v>2</v>
      </c>
      <c r="C13" s="12"/>
      <c r="D13" s="12"/>
      <c r="E13" s="9" t="s">
        <v>22</v>
      </c>
      <c r="F13" s="10" t="s">
        <v>16</v>
      </c>
      <c r="G13" s="12"/>
    </row>
    <row r="14" spans="1:8" x14ac:dyDescent="0.25">
      <c r="A14" s="10" t="s">
        <v>10</v>
      </c>
      <c r="B14" s="9" t="str">
        <f>INDEX(C2:C8,MATCH(A14,B2:B8,0))</f>
        <v>Furniture</v>
      </c>
      <c r="C14" s="12"/>
      <c r="D14" s="12"/>
      <c r="E14" s="10">
        <v>105</v>
      </c>
      <c r="F14" s="9">
        <f>INDEX(D2:H8,MATCH(E14,A2:A8,0),MATCH(F13,D2:H2,0))</f>
        <v>260</v>
      </c>
      <c r="G14" s="12"/>
    </row>
    <row r="15" spans="1:8" x14ac:dyDescent="0.25">
      <c r="A15" s="12"/>
      <c r="B15" s="12"/>
      <c r="C15" s="13"/>
      <c r="D15" s="13"/>
      <c r="E15" s="13"/>
      <c r="F15" s="13"/>
      <c r="G15" s="12"/>
    </row>
    <row r="16" spans="1:8" x14ac:dyDescent="0.25">
      <c r="A16" s="9" t="s">
        <v>18</v>
      </c>
      <c r="B16" s="10" t="s">
        <v>12</v>
      </c>
      <c r="C16" s="11"/>
      <c r="D16" s="11"/>
      <c r="E16" s="11"/>
      <c r="F16" s="11"/>
      <c r="G16" s="12"/>
    </row>
    <row r="17" spans="1:7" x14ac:dyDescent="0.25">
      <c r="A17" s="10" t="s">
        <v>5</v>
      </c>
      <c r="B17" s="9">
        <f>MAX(INDEX(D2:H8,MATCH(A17,B2:B8,0),))</f>
        <v>190</v>
      </c>
      <c r="C17" s="12"/>
      <c r="D17" s="12"/>
      <c r="E17" s="9" t="s">
        <v>28</v>
      </c>
      <c r="F17" s="10" t="s">
        <v>15</v>
      </c>
      <c r="G17" s="12"/>
    </row>
    <row r="18" spans="1:7" x14ac:dyDescent="0.25">
      <c r="A18" s="12"/>
      <c r="B18" s="12"/>
      <c r="C18" s="12"/>
      <c r="D18" s="12"/>
      <c r="E18" s="10" t="s">
        <v>3</v>
      </c>
      <c r="F18" s="9">
        <f>INDEX(D2:H8,MATCH(E18,B2:B8,0),MATCH(F17,D2:H2,0))</f>
        <v>150</v>
      </c>
      <c r="G18" s="12"/>
    </row>
    <row r="19" spans="1:7" x14ac:dyDescent="0.25">
      <c r="A19" s="9" t="s">
        <v>25</v>
      </c>
      <c r="B19" s="10" t="s">
        <v>19</v>
      </c>
      <c r="C19" s="12"/>
      <c r="D19" s="12"/>
      <c r="E19" s="12"/>
      <c r="F19" s="12"/>
      <c r="G19" s="12"/>
    </row>
    <row r="20" spans="1:7" x14ac:dyDescent="0.25">
      <c r="A20" s="10" t="s">
        <v>3</v>
      </c>
      <c r="B20" s="9" t="str">
        <f>INDEX(D2:H2,MATCH(MAX(D3:H3),D3:H3,0))</f>
        <v>MAY</v>
      </c>
      <c r="C20" s="12"/>
      <c r="D20" s="12"/>
      <c r="E20" s="12"/>
      <c r="F20" s="12"/>
      <c r="G20" s="12"/>
    </row>
    <row r="21" spans="1:7" x14ac:dyDescent="0.25">
      <c r="A21" s="12"/>
      <c r="B21" s="12"/>
      <c r="C21" s="12"/>
      <c r="D21" s="12"/>
      <c r="E21" s="12"/>
      <c r="F21" s="12"/>
      <c r="G21" s="12"/>
    </row>
    <row r="22" spans="1:7" x14ac:dyDescent="0.25">
      <c r="A22" s="9" t="s">
        <v>26</v>
      </c>
      <c r="B22" s="10" t="s">
        <v>15</v>
      </c>
      <c r="C22" s="12"/>
      <c r="D22" s="12"/>
      <c r="E22" s="12"/>
      <c r="F22" s="12"/>
      <c r="G22" s="12"/>
    </row>
    <row r="23" spans="1:7" x14ac:dyDescent="0.25">
      <c r="A23" s="10" t="s">
        <v>4</v>
      </c>
      <c r="B23" s="9">
        <f ca="1">SUMIF(C2:C8,A23,INDEX(D2:H2,0,MATCH(B22,D2:H2,0)))</f>
        <v>540</v>
      </c>
      <c r="C23" s="12"/>
      <c r="D23" s="12"/>
      <c r="E23" s="12"/>
      <c r="F23" s="12"/>
      <c r="G23" s="12"/>
    </row>
  </sheetData>
  <mergeCells count="1">
    <mergeCell ref="A1:H1"/>
  </mergeCells>
  <dataValidations count="2">
    <dataValidation type="list" allowBlank="1" showInputMessage="1" showErrorMessage="1" sqref="F17">
      <formula1>$D$2:$H$2</formula1>
    </dataValidation>
    <dataValidation type="list" allowBlank="1" showInputMessage="1" showErrorMessage="1" sqref="E18">
      <formula1>$B$3:$B$8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2025-11-28T17:32:42Z</dcterms:created>
  <dcterms:modified xsi:type="dcterms:W3CDTF">2025-12-02T06:04:11Z</dcterms:modified>
</cp:coreProperties>
</file>