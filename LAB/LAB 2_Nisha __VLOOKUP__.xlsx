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16275" windowHeight="8010"/>
  </bookViews>
  <sheets>
    <sheet name="Product" sheetId="1" r:id="rId1"/>
    <sheet name="Orders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G3" i="2" l="1"/>
  <c r="D3" i="1"/>
  <c r="D4" i="1"/>
  <c r="D5" i="1"/>
  <c r="D6" i="1"/>
  <c r="D7" i="1"/>
  <c r="D8" i="1"/>
  <c r="E4" i="1" l="1"/>
  <c r="E5" i="1"/>
  <c r="E6" i="1"/>
  <c r="E7" i="1"/>
  <c r="E8" i="1"/>
  <c r="E3" i="1"/>
  <c r="F4" i="2" l="1"/>
  <c r="F5" i="2"/>
  <c r="F6" i="2"/>
  <c r="F7" i="2"/>
  <c r="F8" i="2"/>
  <c r="F3" i="2"/>
  <c r="D4" i="2"/>
  <c r="D5" i="2"/>
  <c r="D6" i="2"/>
  <c r="D7" i="2"/>
  <c r="D8" i="2"/>
  <c r="D3" i="2"/>
  <c r="E3" i="2"/>
  <c r="E4" i="2"/>
  <c r="E5" i="2"/>
  <c r="E6" i="2"/>
  <c r="E7" i="2"/>
  <c r="E8" i="2"/>
</calcChain>
</file>

<file path=xl/sharedStrings.xml><?xml version="1.0" encoding="utf-8"?>
<sst xmlns="http://schemas.openxmlformats.org/spreadsheetml/2006/main" count="21" uniqueCount="21">
  <si>
    <t>Products</t>
  </si>
  <si>
    <t>Products 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</si>
  <si>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</si>
  <si>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</si>
  <si>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</si>
  <si>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</si>
  <si>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</si>
  <si>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</si>
  <si>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</si>
  <si>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</si>
  <si>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Orders</t>
  </si>
  <si>
    <t>OrdersID</t>
  </si>
  <si>
    <t>ProductID</t>
  </si>
  <si>
    <t>TotalPrice</t>
  </si>
  <si>
    <t>Product Name</t>
  </si>
  <si>
    <t>Quantity</t>
  </si>
  <si>
    <t>Discount</t>
  </si>
  <si>
    <t>Maximun</t>
  </si>
  <si>
    <t>! Ordered</t>
  </si>
  <si>
    <t>Sold</t>
  </si>
  <si>
    <t>VLOOKUP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</si>
</sst>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2" fillId="3" borderId="0" xfId="0" applyNumberFormat="1" applyFont="1" applyFill="1"/>
    <xf numFmtId="0" fontId="3" fillId="3" borderId="0" xfId="0" applyNumberFormat="1" applyFont="1" applyFill="1"/>
    <xf numFmtId="0" fontId="0" fillId="4" borderId="0" xfId="0" applyNumberFormat="1" applyFill="1"/>
    <xf numFmtId="0" fontId="0" fillId="4" borderId="0" xfId="0" applyFill="1" applyAlignment="1">
      <alignment horizontal="center"/>
    </xf>
    <xf numFmtId="0" fontId="0" fillId="10" borderId="0" xfId="0" applyFill="1"/>
    <xf numFmtId="0" fontId="0" fillId="9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4" borderId="0" xfId="0" applyFill="1"/>
    <xf numFmtId="0" fontId="1" fillId="6" borderId="0" xfId="0" applyFont="1" applyFill="1"/>
    <xf numFmtId="0" fontId="0" fillId="6" borderId="0" xfId="0" applyFont="1" applyFill="1"/>
    <xf numFmtId="0" fontId="0" fillId="10" borderId="0" xfId="0" applyFill="1" applyAlignment="1">
      <alignment horizontal="center"/>
    </xf>
    <xf numFmtId="0" fontId="0" fillId="0" borderId="0" xfId="0" applyBorder="1"/>
    <xf numFmtId="0" fontId="0" fillId="13" borderId="0" xfId="0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12" borderId="0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8" borderId="0" xfId="0" applyFill="1"/>
    <xf numFmtId="0" fontId="0" fillId="11" borderId="0" xfId="0" applyFill="1"/>
    <xf numFmtId="0" fontId="1" fillId="1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tabSelected="1" workbookViewId="0">
      <selection activeCell="H9" sqref="H9"/>
    </sheetView>
  </sheetViews>
  <sheetFormatPr defaultRowHeight="15" x14ac:dyDescent="0.25"/>
  <cols>
    <col min="1" max="1" width="14.28515625" customWidth="1"/>
    <col min="4" max="4" width="13.42578125" customWidth="1"/>
  </cols>
  <sheetData>
    <row r="1" spans="1:12" ht="28.5" x14ac:dyDescent="0.45">
      <c r="A1" s="3" t="s">
        <v>0</v>
      </c>
      <c r="B1" s="4"/>
      <c r="C1" s="2"/>
      <c r="I1" s="25" t="s">
        <v>20</v>
      </c>
      <c r="J1" s="25"/>
      <c r="K1" s="23"/>
      <c r="L1" s="24"/>
    </row>
    <row r="2" spans="1:12" x14ac:dyDescent="0.25">
      <c r="A2" s="5" t="s">
        <v>1</v>
      </c>
      <c r="B2" s="10" t="s">
        <v>2</v>
      </c>
      <c r="C2" s="10" t="s">
        <v>3</v>
      </c>
      <c r="D2" s="6" t="s">
        <v>18</v>
      </c>
      <c r="E2" s="10" t="s">
        <v>19</v>
      </c>
    </row>
    <row r="3" spans="1:12" x14ac:dyDescent="0.25">
      <c r="A3" s="8">
        <v>101</v>
      </c>
      <c r="B3" s="7" t="s">
        <v>4</v>
      </c>
      <c r="C3" s="9">
        <v>120</v>
      </c>
      <c r="D3" s="13" t="str">
        <f>IFERROR(VLOOKUP(A2,Orders!$B$2:$B$7,1,FALSE),"Not Ordered")</f>
        <v>Not Ordered</v>
      </c>
      <c r="E3" s="8">
        <f>SUMIF(Orders!$B$2:$B$7, A2, Orders!$C$2:$C$7)</f>
        <v>0</v>
      </c>
    </row>
    <row r="4" spans="1:12" x14ac:dyDescent="0.25">
      <c r="A4" s="8">
        <v>102</v>
      </c>
      <c r="B4" s="7" t="s">
        <v>5</v>
      </c>
      <c r="C4" s="9">
        <v>150</v>
      </c>
      <c r="D4" s="13">
        <f>IFERROR(VLOOKUP(A3,Orders!$B$2:$B$7,1,FALSE),"Not Ordered")</f>
        <v>101</v>
      </c>
      <c r="E4" s="8">
        <f>SUMIF(Orders!$B$2:$B$7, A3, Orders!$C$2:$C$7)</f>
        <v>2</v>
      </c>
    </row>
    <row r="5" spans="1:12" x14ac:dyDescent="0.25">
      <c r="A5" s="8">
        <v>103</v>
      </c>
      <c r="B5" s="7" t="s">
        <v>6</v>
      </c>
      <c r="C5" s="9">
        <v>200</v>
      </c>
      <c r="D5" s="13">
        <f>IFERROR(VLOOKUP(A4,Orders!$B$2:$B$7,1,FALSE),"Not Ordered")</f>
        <v>102</v>
      </c>
      <c r="E5" s="8">
        <f>SUMIF(Orders!$B$2:$B$7, A4, Orders!$C$2:$C$7)</f>
        <v>5</v>
      </c>
    </row>
    <row r="6" spans="1:12" x14ac:dyDescent="0.25">
      <c r="A6" s="8">
        <v>104</v>
      </c>
      <c r="B6" s="7" t="s">
        <v>7</v>
      </c>
      <c r="C6" s="9">
        <v>90</v>
      </c>
      <c r="D6" s="13">
        <f>IFERROR(VLOOKUP(A5,Orders!$B$2:$B$7,1,FALSE),"Not Ordered")</f>
        <v>103</v>
      </c>
      <c r="E6" s="8">
        <f>SUMIF(Orders!$B$2:$B$7, A5, Orders!$C$2:$C$7)</f>
        <v>1</v>
      </c>
    </row>
    <row r="7" spans="1:12" x14ac:dyDescent="0.25">
      <c r="A7" s="8">
        <v>105</v>
      </c>
      <c r="B7" s="7" t="s">
        <v>8</v>
      </c>
      <c r="C7" s="9">
        <v>220</v>
      </c>
      <c r="D7" s="13" t="str">
        <f>IFERROR(VLOOKUP(A6,Orders!$B$2:$B$7,1,FALSE),"Not Ordered")</f>
        <v>Not Ordered</v>
      </c>
      <c r="E7" s="8">
        <f>SUMIF(Orders!$B$2:$B$7, A6, Orders!$C$2:$C$7)</f>
        <v>0</v>
      </c>
    </row>
    <row r="8" spans="1:12" x14ac:dyDescent="0.25">
      <c r="A8" s="8">
        <v>106</v>
      </c>
      <c r="B8" s="7" t="s">
        <v>9</v>
      </c>
      <c r="C8" s="9">
        <v>130</v>
      </c>
      <c r="D8" s="13">
        <f>IFERROR(VLOOKUP(A7,Orders!$B$2:$B$7,1,FALSE),"Not Ordered")</f>
        <v>105</v>
      </c>
      <c r="E8" s="8">
        <f>SUMIF(Orders!$B$2:$B$7, A7, Orders!$C$2:$C$7)</f>
        <v>4</v>
      </c>
    </row>
    <row r="19" spans="2:2" x14ac:dyDescent="0.25">
      <c r="B19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L5" sqref="L5"/>
    </sheetView>
  </sheetViews>
  <sheetFormatPr defaultRowHeight="15" x14ac:dyDescent="0.25"/>
  <cols>
    <col min="5" max="5" width="13.28515625" customWidth="1"/>
  </cols>
  <sheetData>
    <row r="1" spans="1:7" ht="28.5" x14ac:dyDescent="0.45">
      <c r="A1" s="11" t="s">
        <v>10</v>
      </c>
      <c r="B1" s="12"/>
    </row>
    <row r="2" spans="1:7" x14ac:dyDescent="0.25">
      <c r="A2" s="15" t="s">
        <v>11</v>
      </c>
      <c r="B2" s="15" t="s">
        <v>12</v>
      </c>
      <c r="C2" s="15" t="s">
        <v>15</v>
      </c>
      <c r="D2" s="15" t="s">
        <v>13</v>
      </c>
      <c r="E2" s="15" t="s">
        <v>14</v>
      </c>
      <c r="F2" s="15" t="s">
        <v>16</v>
      </c>
      <c r="G2" s="15" t="s">
        <v>17</v>
      </c>
    </row>
    <row r="3" spans="1:7" x14ac:dyDescent="0.25">
      <c r="A3" s="16">
        <v>1</v>
      </c>
      <c r="B3" s="17">
        <v>101</v>
      </c>
      <c r="C3" s="18">
        <v>2</v>
      </c>
      <c r="D3" s="19">
        <f>C3*VLOOKUP(B3,Product!$A$2:$C$8,3,0)</f>
        <v>240</v>
      </c>
      <c r="E3" s="20" t="str">
        <f>VLOOKUP(B3,Product!$A$2:$C$8,2,0)</f>
        <v>Product A</v>
      </c>
      <c r="F3" s="21">
        <f>VLOOKUP(B3,Product!$A$2:$C$8,3,0)*0.1</f>
        <v>12</v>
      </c>
      <c r="G3" s="22">
        <f>MAX(D3:D8)</f>
        <v>880</v>
      </c>
    </row>
    <row r="4" spans="1:7" x14ac:dyDescent="0.25">
      <c r="A4" s="16">
        <v>2</v>
      </c>
      <c r="B4" s="17">
        <v>103</v>
      </c>
      <c r="C4" s="18">
        <v>1</v>
      </c>
      <c r="D4" s="19">
        <f>C4*VLOOKUP(B4,Product!$A$2:$C$8,3,0)</f>
        <v>200</v>
      </c>
      <c r="E4" s="20" t="str">
        <f>VLOOKUP(B4,Product!$A$2:$C$8,2,0)</f>
        <v>Product C</v>
      </c>
      <c r="F4" s="21">
        <f>VLOOKUP(B4,Product!$A$2:$C$8,3,0)*0.1</f>
        <v>20</v>
      </c>
      <c r="G4" s="22"/>
    </row>
    <row r="5" spans="1:7" x14ac:dyDescent="0.25">
      <c r="A5" s="16">
        <v>3</v>
      </c>
      <c r="B5" s="17">
        <v>105</v>
      </c>
      <c r="C5" s="18">
        <v>4</v>
      </c>
      <c r="D5" s="19">
        <f>C5*VLOOKUP(B5,Product!$A$2:$C$8,3,0)</f>
        <v>880</v>
      </c>
      <c r="E5" s="20" t="str">
        <f>VLOOKUP(B5,Product!$A$2:$C$8,2,0)</f>
        <v>Product E</v>
      </c>
      <c r="F5" s="21">
        <f>VLOOKUP(B5,Product!$A$2:$C$8,3,0)*0.1</f>
        <v>22</v>
      </c>
      <c r="G5" s="22"/>
    </row>
    <row r="6" spans="1:7" x14ac:dyDescent="0.25">
      <c r="A6" s="16">
        <v>4</v>
      </c>
      <c r="B6" s="17">
        <v>106</v>
      </c>
      <c r="C6" s="18">
        <v>3</v>
      </c>
      <c r="D6" s="19">
        <f>C6*VLOOKUP(B6,Product!$A$2:$C$8,3,0)</f>
        <v>390</v>
      </c>
      <c r="E6" s="20" t="str">
        <f>VLOOKUP(B6,Product!$A$2:$C$8,2,0)</f>
        <v>Product F</v>
      </c>
      <c r="F6" s="21">
        <f>VLOOKUP(B6,Product!$A$2:$C$8,3,0)*0.1</f>
        <v>13</v>
      </c>
      <c r="G6" s="22"/>
    </row>
    <row r="7" spans="1:7" x14ac:dyDescent="0.25">
      <c r="A7" s="16">
        <v>5</v>
      </c>
      <c r="B7" s="17">
        <v>102</v>
      </c>
      <c r="C7" s="18">
        <v>5</v>
      </c>
      <c r="D7" s="19">
        <f>C7*VLOOKUP(B7,Product!$A$2:$C$8,3,0)</f>
        <v>750</v>
      </c>
      <c r="E7" s="20" t="str">
        <f>VLOOKUP(B7,Product!$A$2:$C$8,2,0)</f>
        <v>Product B</v>
      </c>
      <c r="F7" s="21">
        <f>VLOOKUP(B7,Product!$A$2:$C$8,3,0)*0.1</f>
        <v>15</v>
      </c>
      <c r="G7" s="22"/>
    </row>
    <row r="8" spans="1:7" x14ac:dyDescent="0.25">
      <c r="A8" s="16">
        <v>6</v>
      </c>
      <c r="B8" s="17">
        <v>104</v>
      </c>
      <c r="C8" s="18">
        <v>6</v>
      </c>
      <c r="D8" s="19">
        <f>C8*VLOOKUP(B8,Product!$A$2:$C$8,3,0)</f>
        <v>540</v>
      </c>
      <c r="E8" s="20" t="str">
        <f>VLOOKUP(B8,Product!$A$2:$C$8,2,0)</f>
        <v>Product D</v>
      </c>
      <c r="F8" s="21">
        <f>VLOOKUP(B8,Product!$A$2:$C$8,3,0)*0.1</f>
        <v>9</v>
      </c>
      <c r="G8" s="22"/>
    </row>
    <row r="9" spans="1:7" x14ac:dyDescent="0.25">
      <c r="E9" s="1"/>
    </row>
    <row r="11" spans="1:7" x14ac:dyDescent="0.25">
      <c r="C11" s="14"/>
    </row>
  </sheetData>
  <mergeCells count="1">
    <mergeCell ref="G3:G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</vt:lpstr>
      <vt:lpstr>Orders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2025-11-26T05:21:34Z</dcterms:created>
  <dcterms:modified xsi:type="dcterms:W3CDTF">2025-11-27T05:59:13Z</dcterms:modified>
</cp:coreProperties>
</file>