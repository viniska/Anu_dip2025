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PRODUCT" sheetId="1" r:id="rId1"/>
    <sheet name="ORDER" sheetId="2" r:id="rId2"/>
    <sheet name="Advance " sheetId="3" r:id="rId3"/>
  </sheets>
  <calcPr calcId="144525"/>
</workbook>
</file>

<file path=xl/calcChain.xml><?xml version="1.0" encoding="utf-8"?>
<calcChain xmlns="http://schemas.openxmlformats.org/spreadsheetml/2006/main">
  <c r="B12" i="3" l="1"/>
  <c r="F4" i="2"/>
  <c r="F5" i="2"/>
  <c r="F6" i="2"/>
  <c r="F7" i="2"/>
  <c r="F8" i="2"/>
  <c r="F3" i="2"/>
  <c r="E4" i="2"/>
  <c r="E5" i="2"/>
  <c r="E6" i="2"/>
  <c r="E7" i="2"/>
  <c r="E8" i="2"/>
  <c r="E3" i="2"/>
  <c r="D4" i="2"/>
  <c r="D5" i="2"/>
  <c r="D6" i="2"/>
  <c r="D7" i="2"/>
  <c r="D8" i="2"/>
  <c r="D3" i="2"/>
</calcChain>
</file>

<file path=xl/sharedStrings.xml><?xml version="1.0" encoding="utf-8"?>
<sst xmlns="http://schemas.openxmlformats.org/spreadsheetml/2006/main" count="39" uniqueCount="34">
  <si>
    <t>Products 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</si>
  <si>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</si>
  <si>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</si>
  <si>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</si>
  <si>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</si>
  <si>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</si>
  <si>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</si>
  <si>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</si>
  <si>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</si>
  <si>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PRODUCTS</t>
  </si>
  <si>
    <t>Category</t>
  </si>
  <si>
    <t>Electronics</t>
  </si>
  <si>
    <t>Furniture</t>
  </si>
  <si>
    <t>Clothing</t>
  </si>
  <si>
    <t>OrdersID</t>
  </si>
  <si>
    <t>ProductID</t>
  </si>
  <si>
    <t>Quantity</t>
  </si>
  <si>
    <t>UNITPRICE</t>
  </si>
  <si>
    <t>TOTALPRICE</t>
  </si>
  <si>
    <t>ORDERS</t>
  </si>
  <si>
    <t>CATEGORIES EACH PRODUCT</t>
  </si>
  <si>
    <t xml:space="preserve"> PRODUCT</t>
  </si>
  <si>
    <t>JAN</t>
  </si>
  <si>
    <t>FEB</t>
  </si>
  <si>
    <t>MAR</t>
  </si>
  <si>
    <t>APR</t>
  </si>
  <si>
    <t>MAY</t>
  </si>
  <si>
    <t xml:space="preserve"> PRODUCT A</t>
  </si>
  <si>
    <t xml:space="preserve"> PRODUCT B</t>
  </si>
  <si>
    <t xml:space="preserve"> PRODUCT C</t>
  </si>
  <si>
    <t xml:space="preserve"> PRODUCT D</t>
  </si>
  <si>
    <t xml:space="preserve"> PRODUCT E</t>
  </si>
  <si>
    <t xml:space="preserve"> PRODUCT F</t>
  </si>
  <si>
    <t>MONTHLY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</si>
</sst>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8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8" borderId="0" xfId="0" applyFill="1"/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4" borderId="0" xfId="0" applyNumberFormat="1" applyFill="1"/>
    <xf numFmtId="0" fontId="0" fillId="14" borderId="0" xfId="0" applyFill="1"/>
    <xf numFmtId="0" fontId="0" fillId="7" borderId="0" xfId="0" applyFill="1"/>
    <xf numFmtId="0" fontId="0" fillId="10" borderId="0" xfId="0" applyFill="1" applyBorder="1" applyAlignment="1">
      <alignment horizontal="center"/>
    </xf>
    <xf numFmtId="0" fontId="0" fillId="0" borderId="0" xfId="0"/>
    <xf numFmtId="0" fontId="0" fillId="14" borderId="0" xfId="0" applyFill="1" applyAlignment="1">
      <alignment horizontal="center"/>
    </xf>
    <xf numFmtId="0" fontId="0" fillId="14" borderId="0" xfId="0" applyFill="1"/>
    <xf numFmtId="0" fontId="0" fillId="0" borderId="0" xfId="0" applyFill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5" borderId="1" xfId="0" applyFill="1" applyBorder="1"/>
    <xf numFmtId="0" fontId="0" fillId="12" borderId="1" xfId="0" applyFill="1" applyBorder="1"/>
    <xf numFmtId="0" fontId="1" fillId="13" borderId="0" xfId="0" applyFont="1" applyFill="1"/>
    <xf numFmtId="0" fontId="1" fillId="1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4" fillId="15" borderId="0" xfId="0" applyFont="1" applyFill="1" applyAlignment="1">
      <alignment horizontal="center"/>
    </xf>
    <xf numFmtId="0" fontId="0" fillId="3" borderId="0" xfId="0" applyFill="1" applyBorder="1" applyAlignment="1">
      <alignment horizontal="center"/>
    </xf>
    <xf numFmtId="0" fontId="0" fillId="18" borderId="0" xfId="0" applyFill="1" applyBorder="1" applyAlignment="1">
      <alignment horizontal="center"/>
    </xf>
    <xf numFmtId="0" fontId="0" fillId="12" borderId="0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G6" sqref="G6"/>
    </sheetView>
  </sheetViews>
  <sheetFormatPr defaultRowHeight="15" x14ac:dyDescent="0.25"/>
  <cols>
    <col min="1" max="1" width="10.5703125" customWidth="1"/>
    <col min="2" max="2" width="11.85546875" customWidth="1"/>
    <col min="3" max="3" width="11.42578125" customWidth="1"/>
    <col min="4" max="4" width="10.140625" customWidth="1"/>
  </cols>
  <sheetData>
    <row r="1" spans="1:4" ht="21" x14ac:dyDescent="0.35">
      <c r="A1" s="22" t="s">
        <v>9</v>
      </c>
      <c r="B1" s="22"/>
      <c r="C1" s="22"/>
      <c r="D1" s="22"/>
    </row>
    <row r="2" spans="1:4" x14ac:dyDescent="0.25">
      <c r="A2" s="4" t="s">
        <v>0</v>
      </c>
      <c r="B2" s="5" t="s">
        <v>1</v>
      </c>
      <c r="C2" s="5" t="s">
        <v>10</v>
      </c>
      <c r="D2" s="5" t="s">
        <v>2</v>
      </c>
    </row>
    <row r="3" spans="1:4" x14ac:dyDescent="0.25">
      <c r="A3" s="2">
        <v>101</v>
      </c>
      <c r="B3" s="1" t="s">
        <v>3</v>
      </c>
      <c r="C3" s="6" t="s">
        <v>11</v>
      </c>
      <c r="D3" s="3">
        <v>120</v>
      </c>
    </row>
    <row r="4" spans="1:4" x14ac:dyDescent="0.25">
      <c r="A4" s="2">
        <v>102</v>
      </c>
      <c r="B4" s="1" t="s">
        <v>4</v>
      </c>
      <c r="C4" s="6" t="s">
        <v>12</v>
      </c>
      <c r="D4" s="3">
        <v>150</v>
      </c>
    </row>
    <row r="5" spans="1:4" x14ac:dyDescent="0.25">
      <c r="A5" s="2">
        <v>103</v>
      </c>
      <c r="B5" s="1" t="s">
        <v>5</v>
      </c>
      <c r="C5" s="6" t="s">
        <v>11</v>
      </c>
      <c r="D5" s="3">
        <v>200</v>
      </c>
    </row>
    <row r="6" spans="1:4" x14ac:dyDescent="0.25">
      <c r="A6" s="2">
        <v>104</v>
      </c>
      <c r="B6" s="1" t="s">
        <v>6</v>
      </c>
      <c r="C6" s="6" t="s">
        <v>13</v>
      </c>
      <c r="D6" s="3">
        <v>90</v>
      </c>
    </row>
    <row r="7" spans="1:4" x14ac:dyDescent="0.25">
      <c r="A7" s="2">
        <v>105</v>
      </c>
      <c r="B7" s="1" t="s">
        <v>7</v>
      </c>
      <c r="C7" s="6" t="s">
        <v>12</v>
      </c>
      <c r="D7" s="3">
        <v>220</v>
      </c>
    </row>
    <row r="8" spans="1:4" x14ac:dyDescent="0.25">
      <c r="A8" s="2">
        <v>106</v>
      </c>
      <c r="B8" s="1" t="s">
        <v>8</v>
      </c>
      <c r="C8" s="6" t="s">
        <v>11</v>
      </c>
      <c r="D8" s="3">
        <v>130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E15" sqref="E15"/>
    </sheetView>
  </sheetViews>
  <sheetFormatPr defaultRowHeight="15" x14ac:dyDescent="0.25"/>
  <cols>
    <col min="1" max="1" width="9.85546875" customWidth="1"/>
    <col min="2" max="2" width="10.140625" customWidth="1"/>
    <col min="3" max="3" width="11.42578125" customWidth="1"/>
    <col min="4" max="4" width="11" customWidth="1"/>
    <col min="5" max="5" width="12.7109375" customWidth="1"/>
    <col min="6" max="6" width="27" customWidth="1"/>
    <col min="10" max="10" width="10.7109375" customWidth="1"/>
  </cols>
  <sheetData>
    <row r="1" spans="1:6" ht="23.25" x14ac:dyDescent="0.35">
      <c r="A1" s="23" t="s">
        <v>19</v>
      </c>
      <c r="B1" s="23"/>
      <c r="C1" s="23"/>
      <c r="D1" s="23"/>
    </row>
    <row r="2" spans="1:6" x14ac:dyDescent="0.25">
      <c r="A2" s="24" t="s">
        <v>14</v>
      </c>
      <c r="B2" s="24" t="s">
        <v>15</v>
      </c>
      <c r="C2" s="24" t="s">
        <v>16</v>
      </c>
      <c r="D2" s="24" t="s">
        <v>17</v>
      </c>
      <c r="E2" s="24" t="s">
        <v>18</v>
      </c>
      <c r="F2" s="24" t="s">
        <v>20</v>
      </c>
    </row>
    <row r="3" spans="1:6" x14ac:dyDescent="0.25">
      <c r="A3" s="25">
        <v>1</v>
      </c>
      <c r="B3" s="26">
        <v>101</v>
      </c>
      <c r="C3" s="7">
        <v>2</v>
      </c>
      <c r="D3" s="27">
        <f>VLOOKUP(ORDER!B3,PRODUCT!$A$2:$D$8,4,0)</f>
        <v>120</v>
      </c>
      <c r="E3" s="3">
        <f>PRODUCT(C3:D3)</f>
        <v>240</v>
      </c>
      <c r="F3" s="28" t="str">
        <f>VLOOKUP(B3,PRODUCT!$A$2:$D$8,3,0)</f>
        <v>Electronics</v>
      </c>
    </row>
    <row r="4" spans="1:6" x14ac:dyDescent="0.25">
      <c r="A4" s="25">
        <v>2</v>
      </c>
      <c r="B4" s="26">
        <v>103</v>
      </c>
      <c r="C4" s="7">
        <v>1</v>
      </c>
      <c r="D4" s="27">
        <f>VLOOKUP(ORDER!B4,PRODUCT!$A$2:$D$8,4,0)</f>
        <v>200</v>
      </c>
      <c r="E4" s="3">
        <f t="shared" ref="E4:E8" si="0">PRODUCT(C4:D4)</f>
        <v>200</v>
      </c>
      <c r="F4" s="28" t="str">
        <f>VLOOKUP(B4,PRODUCT!$A$2:$D$8,3,0)</f>
        <v>Electronics</v>
      </c>
    </row>
    <row r="5" spans="1:6" x14ac:dyDescent="0.25">
      <c r="A5" s="25">
        <v>3</v>
      </c>
      <c r="B5" s="26">
        <v>105</v>
      </c>
      <c r="C5" s="7">
        <v>4</v>
      </c>
      <c r="D5" s="27">
        <f>VLOOKUP(ORDER!B5,PRODUCT!$A$2:$D$8,4,0)</f>
        <v>220</v>
      </c>
      <c r="E5" s="3">
        <f t="shared" si="0"/>
        <v>880</v>
      </c>
      <c r="F5" s="28" t="str">
        <f>VLOOKUP(B5,PRODUCT!$A$2:$D$8,3,0)</f>
        <v>Furniture</v>
      </c>
    </row>
    <row r="6" spans="1:6" x14ac:dyDescent="0.25">
      <c r="A6" s="25">
        <v>4</v>
      </c>
      <c r="B6" s="26">
        <v>106</v>
      </c>
      <c r="C6" s="7">
        <v>3</v>
      </c>
      <c r="D6" s="27">
        <f>VLOOKUP(ORDER!B6,PRODUCT!$A$2:$D$8,4,0)</f>
        <v>130</v>
      </c>
      <c r="E6" s="3">
        <f t="shared" si="0"/>
        <v>390</v>
      </c>
      <c r="F6" s="28" t="str">
        <f>VLOOKUP(B6,PRODUCT!$A$2:$D$8,3,0)</f>
        <v>Electronics</v>
      </c>
    </row>
    <row r="7" spans="1:6" x14ac:dyDescent="0.25">
      <c r="A7" s="25">
        <v>5</v>
      </c>
      <c r="B7" s="26">
        <v>102</v>
      </c>
      <c r="C7" s="7">
        <v>5</v>
      </c>
      <c r="D7" s="27">
        <f>VLOOKUP(ORDER!B7,PRODUCT!$A$2:$D$8,4,0)</f>
        <v>150</v>
      </c>
      <c r="E7" s="3">
        <f t="shared" si="0"/>
        <v>750</v>
      </c>
      <c r="F7" s="28" t="str">
        <f>VLOOKUP(B7,PRODUCT!$A$2:$D$8,3,0)</f>
        <v>Furniture</v>
      </c>
    </row>
    <row r="8" spans="1:6" x14ac:dyDescent="0.25">
      <c r="A8" s="25">
        <v>6</v>
      </c>
      <c r="B8" s="26">
        <v>104</v>
      </c>
      <c r="C8" s="7">
        <v>6</v>
      </c>
      <c r="D8" s="27">
        <f>VLOOKUP(ORDER!B8,PRODUCT!$A$2:$D$8,4,0)</f>
        <v>90</v>
      </c>
      <c r="E8" s="3">
        <f t="shared" si="0"/>
        <v>540</v>
      </c>
      <c r="F8" s="28" t="str">
        <f>VLOOKUP(B8,PRODUCT!$A$2:$D$8,3,0)</f>
        <v>Clothing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F18" sqref="F18"/>
    </sheetView>
  </sheetViews>
  <sheetFormatPr defaultRowHeight="15" x14ac:dyDescent="0.25"/>
  <cols>
    <col min="1" max="1" width="12.140625" customWidth="1"/>
  </cols>
  <sheetData>
    <row r="1" spans="1:7" ht="28.5" x14ac:dyDescent="0.45">
      <c r="A1" s="29" t="s">
        <v>33</v>
      </c>
      <c r="B1" s="29"/>
      <c r="C1" s="30"/>
    </row>
    <row r="2" spans="1:7" x14ac:dyDescent="0.25">
      <c r="A2" s="10" t="s">
        <v>21</v>
      </c>
      <c r="B2" s="9" t="s">
        <v>22</v>
      </c>
      <c r="C2" s="9" t="s">
        <v>23</v>
      </c>
      <c r="D2" s="9" t="s">
        <v>24</v>
      </c>
      <c r="E2" s="9" t="s">
        <v>25</v>
      </c>
      <c r="F2" s="9" t="s">
        <v>26</v>
      </c>
      <c r="G2" s="11"/>
    </row>
    <row r="3" spans="1:7" x14ac:dyDescent="0.25">
      <c r="A3" s="16" t="s">
        <v>27</v>
      </c>
      <c r="B3" s="17">
        <v>120</v>
      </c>
      <c r="C3" s="19">
        <v>130</v>
      </c>
      <c r="D3" s="21">
        <v>140</v>
      </c>
      <c r="E3" s="18">
        <v>150</v>
      </c>
      <c r="F3" s="20">
        <v>160</v>
      </c>
    </row>
    <row r="4" spans="1:7" x14ac:dyDescent="0.25">
      <c r="A4" s="16" t="s">
        <v>28</v>
      </c>
      <c r="B4" s="17">
        <v>150</v>
      </c>
      <c r="C4" s="19">
        <v>160</v>
      </c>
      <c r="D4" s="21">
        <v>170</v>
      </c>
      <c r="E4" s="18">
        <v>180</v>
      </c>
      <c r="F4" s="20">
        <v>190</v>
      </c>
    </row>
    <row r="5" spans="1:7" x14ac:dyDescent="0.25">
      <c r="A5" s="16" t="s">
        <v>29</v>
      </c>
      <c r="B5" s="17">
        <v>200</v>
      </c>
      <c r="C5" s="19">
        <v>210</v>
      </c>
      <c r="D5" s="21">
        <v>220</v>
      </c>
      <c r="E5" s="18">
        <v>230</v>
      </c>
      <c r="F5" s="20">
        <v>240</v>
      </c>
    </row>
    <row r="6" spans="1:7" x14ac:dyDescent="0.25">
      <c r="A6" s="16" t="s">
        <v>30</v>
      </c>
      <c r="B6" s="17">
        <v>90</v>
      </c>
      <c r="C6" s="19">
        <v>100</v>
      </c>
      <c r="D6" s="21">
        <v>110</v>
      </c>
      <c r="E6" s="18">
        <v>120</v>
      </c>
      <c r="F6" s="20">
        <v>130</v>
      </c>
    </row>
    <row r="7" spans="1:7" x14ac:dyDescent="0.25">
      <c r="A7" s="16" t="s">
        <v>31</v>
      </c>
      <c r="B7" s="17">
        <v>220</v>
      </c>
      <c r="C7" s="19">
        <v>230</v>
      </c>
      <c r="D7" s="21">
        <v>240</v>
      </c>
      <c r="E7" s="18">
        <v>250</v>
      </c>
      <c r="F7" s="20">
        <v>260</v>
      </c>
    </row>
    <row r="8" spans="1:7" x14ac:dyDescent="0.25">
      <c r="A8" s="16" t="s">
        <v>32</v>
      </c>
      <c r="B8" s="17">
        <v>130</v>
      </c>
      <c r="C8" s="19">
        <v>140</v>
      </c>
      <c r="D8" s="21">
        <v>150</v>
      </c>
      <c r="E8" s="18">
        <v>160</v>
      </c>
      <c r="F8" s="20">
        <v>170</v>
      </c>
    </row>
    <row r="11" spans="1:7" x14ac:dyDescent="0.25">
      <c r="A11" s="12"/>
      <c r="B11" s="13" t="s">
        <v>24</v>
      </c>
    </row>
    <row r="12" spans="1:7" x14ac:dyDescent="0.25">
      <c r="A12" s="14" t="s">
        <v>32</v>
      </c>
      <c r="B12" s="15">
        <f>HLOOKUP(B11,A2:F8,MATCH(A12,A2:A8,0),0)</f>
        <v>150</v>
      </c>
    </row>
    <row r="13" spans="1:7" x14ac:dyDescent="0.25">
      <c r="B13" s="8"/>
    </row>
    <row r="14" spans="1:7" x14ac:dyDescent="0.25">
      <c r="B14" s="8"/>
    </row>
  </sheetData>
  <dataValidations count="2">
    <dataValidation type="list" allowBlank="1" showInputMessage="1" showErrorMessage="1" sqref="A12">
      <formula1>$A$3:$A$8</formula1>
    </dataValidation>
    <dataValidation type="list" allowBlank="1" showInputMessage="1" showErrorMessage="1" sqref="B11">
      <formula1>$B$2:$F$2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</vt:lpstr>
      <vt:lpstr>ORDER</vt:lpstr>
      <vt:lpstr>Advance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2025-11-27T16:48:41Z</dcterms:created>
  <dcterms:modified xsi:type="dcterms:W3CDTF">2025-11-28T17:27:21Z</dcterms:modified>
</cp:coreProperties>
</file>