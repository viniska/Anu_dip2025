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72" windowWidth="22980" windowHeight="10080" activeTab="2"/>
  </bookViews>
  <sheets>
    <sheet name="DAY 9" sheetId="1" r:id="rId1"/>
    <sheet name="Sheet2" sheetId="2" r:id="rId2"/>
    <sheet name="Sheet3" sheetId="3" r:id="rId3"/>
  </sheets>
  <definedNames>
    <definedName name="Slicer_Order_Date1">#N/A</definedName>
  </definedNames>
  <calcPr calcId="145621"/>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<sst xmlns="http://schemas.openxmlformats.org/spreadsheetml/2006/main" count="266" uniqueCount="85">
  <si>
    <t>DASHBOARD MAKING USING PIVOT TABLE</t>
  </si>
  <si>
    <t>Order ID</t>
  </si>
  <si>
    <t>Order Date</t>
  </si>
  <si>
    <t>Customer Name</t>
  </si>
  <si>
    <t>Region</t>
  </si>
  <si>
    <t>Category</t>
  </si>
  <si>
    <t>Sub-Category</t>
  </si>
  <si>
    <t>Quantity</t>
  </si>
  <si>
    <t>Unit Price</t>
  </si>
  <si>
    <t>Discount</t>
  </si>
  <si>
    <t>Total Sales</t>
  </si>
  <si>
    <t>Profit</t>
  </si>
  <si>
    <t>Payment Mode</t>
  </si>
  <si>
    <t>sale 1</t>
  </si>
  <si>
    <t>ORD-1012</t>
  </si>
  <si>
    <t>Amit</t>
  </si>
  <si>
    <t>East</t>
  </si>
  <si>
    <t>Technology</t>
  </si>
  <si>
    <t>Mobiles</t>
  </si>
  <si>
    <t>Cash</t>
  </si>
  <si>
    <t>ORD-1009</t>
  </si>
  <si>
    <t>South</t>
  </si>
  <si>
    <t>Printers</t>
  </si>
  <si>
    <t>Net Banking</t>
  </si>
  <si>
    <t>ORD-1010</t>
  </si>
  <si>
    <t>Credit Card</t>
  </si>
  <si>
    <t>ORD-1004</t>
  </si>
  <si>
    <t>Karan</t>
  </si>
  <si>
    <t>Furniture</t>
  </si>
  <si>
    <t>Bookcases</t>
  </si>
  <si>
    <t>UPI</t>
  </si>
  <si>
    <t>ORD-1025</t>
  </si>
  <si>
    <t>West</t>
  </si>
  <si>
    <t>Laptops</t>
  </si>
  <si>
    <t>ORD-1002</t>
  </si>
  <si>
    <t>ORD-1000</t>
  </si>
  <si>
    <t>Office Supplies</t>
  </si>
  <si>
    <t>Pens</t>
  </si>
  <si>
    <t>ORD-1020</t>
  </si>
  <si>
    <t>Paper</t>
  </si>
  <si>
    <t>ORD-1008</t>
  </si>
  <si>
    <t>North</t>
  </si>
  <si>
    <t>ORD-1032</t>
  </si>
  <si>
    <t>ORD-1018</t>
  </si>
  <si>
    <t>Neha</t>
  </si>
  <si>
    <t>Binders</t>
  </si>
  <si>
    <t>ORD-1024</t>
  </si>
  <si>
    <t>Chairs</t>
  </si>
  <si>
    <t>ORD-1029</t>
  </si>
  <si>
    <t>ORD-1026</t>
  </si>
  <si>
    <t>ORD-1031</t>
  </si>
  <si>
    <t>Pooja</t>
  </si>
  <si>
    <t>ORD-1013</t>
  </si>
  <si>
    <t>Tables</t>
  </si>
  <si>
    <t>ORD-1021</t>
  </si>
  <si>
    <t>ORD-1006</t>
  </si>
  <si>
    <t>Priya</t>
  </si>
  <si>
    <t>ORD-1033</t>
  </si>
  <si>
    <t>ORD-1016</t>
  </si>
  <si>
    <t>ORD-1014</t>
  </si>
  <si>
    <t>ORD-1023</t>
  </si>
  <si>
    <t>ORD-1007</t>
  </si>
  <si>
    <t>Raj</t>
  </si>
  <si>
    <t>ORD-1017</t>
  </si>
  <si>
    <t>ORD-1015</t>
  </si>
  <si>
    <t>ORD-1035</t>
  </si>
  <si>
    <t>Simran</t>
  </si>
  <si>
    <t>ORD-1003</t>
  </si>
  <si>
    <t>ORD-1028</t>
  </si>
  <si>
    <t>ORD-1027</t>
  </si>
  <si>
    <t>ORD-1022</t>
  </si>
  <si>
    <t>Sneha</t>
  </si>
  <si>
    <t>ORD-1019</t>
  </si>
  <si>
    <t>ORD-1005</t>
  </si>
  <si>
    <t>ORD-1011</t>
  </si>
  <si>
    <t>ORD-1001</t>
  </si>
  <si>
    <t>Vikram</t>
  </si>
  <si>
    <t>ORD-1036</t>
  </si>
  <si>
    <t>ORD-1034</t>
  </si>
  <si>
    <t>ORD-1030</t>
  </si>
  <si>
    <t>Row Labels</t>
  </si>
  <si>
    <t>Sum of Total Sales</t>
  </si>
  <si>
    <t>Sum of Profit</t>
  </si>
  <si>
    <t>Grand Total</t>
  </si>
  <si>
    <t>Feb</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</si>
</sst>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24"/>
      <color rgb="FFFF0000"/>
      <name val="Calibri"/>
      <family val="2"/>
      <scheme val="minor"/>
    </font>
    <font>
      <b/>
      <sz val="11"/>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0"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2" xfId="0" applyFont="1" applyBorder="1" applyAlignment="1">
      <alignment horizontal="center"/>
    </xf>
    <xf numFmtId="0" fontId="0" fillId="0" borderId="2" xfId="0" applyBorder="1" applyAlignment="1">
      <alignment horizontal="center"/>
    </xf>
    <xf numFmtId="14" fontId="0" fillId="0" borderId="2" xfId="0" applyNumberFormat="1" applyBorder="1" applyAlignment="1">
      <alignment horizontal="center"/>
    </xf>
    <xf numFmtId="0" fontId="0" fillId="0" borderId="2" xfId="0" applyFill="1" applyBorder="1" applyAlignment="1">
      <alignment horizontal="center"/>
    </xf>
    <xf numFmtId="0" fontId="0" fillId="3" borderId="2" xfId="0" applyFill="1" applyBorder="1" applyAlignment="1">
      <alignment horizontal="center"/>
    </xf>
    <xf numFmtId="14" fontId="0" fillId="3" borderId="2" xfId="0" applyNumberFormat="1" applyFill="1" applyBorder="1" applyAlignment="1">
      <alignment horizontal="center"/>
    </xf>
    <xf numFmtId="0" fontId="0" fillId="0" borderId="0" xfId="0" applyAlignment="1">
      <alignment horizontal="left"/>
    </xf>
    <xf numFmtId="0" fontId="0" fillId="0" borderId="0" xfId="0" applyNumberFormat="1"/>
    <xf numFmtId="0" fontId="0" fillId="0" borderId="0" xfId="0" applyAlignment="1">
      <alignment horizontal="left" indent="1"/>
    </xf>
    <xf numFmtId="14" fontId="0" fillId="0" borderId="0" xfId="0" applyNumberFormat="1" applyAlignment="1">
      <alignment horizontal="left"/>
    </xf>
    <xf numFmtId="0" fontId="0" fillId="0" borderId="0" xfId="0" pivotButt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areaChart>
        <c:grouping val="standard"/>
        <c:varyColors val="0"/>
        <c:ser>
          <c:idx val="0"/>
          <c:order val="0"/>
          <c:tx>
            <c:v>Total</c:v>
          </c:tx>
          <c:cat>
            <c:strLit>
              <c:ptCount val="2"/>
              <c:pt idx="0">
                <c:v>Karan</c:v>
              </c:pt>
              <c:pt idx="1">
                <c:v>Priya</c:v>
              </c:pt>
            </c:strLit>
          </c:cat>
          <c:val>
            <c:numLit>
              <c:formatCode>General</c:formatCode>
              <c:ptCount val="2"/>
              <c:pt idx="0">
                <c:v>5004.71</c:v>
              </c:pt>
              <c:pt idx="1">
                <c:v>7462.04</c:v>
              </c:pt>
            </c:numLit>
          </c:val>
        </c:ser>
        <c:dLbls>
          <c:showLegendKey val="0"/>
          <c:showVal val="0"/>
          <c:showCatName val="0"/>
          <c:showSerName val="0"/>
          <c:showPercent val="0"/>
          <c:showBubbleSize val="0"/>
        </c:dLbls>
        <c:axId val="145368064"/>
        <c:axId val="141139264"/>
      </c:areaChart>
      <c:catAx>
        <c:axId val="145368064"/>
        <c:scaling>
          <c:orientation val="minMax"/>
        </c:scaling>
        <c:delete val="0"/>
        <c:axPos val="b"/>
        <c:majorTickMark val="out"/>
        <c:minorTickMark val="none"/>
        <c:tickLblPos val="nextTo"/>
        <c:crossAx val="141139264"/>
        <c:crosses val="autoZero"/>
        <c:auto val="1"/>
        <c:lblAlgn val="ctr"/>
        <c:lblOffset val="100"/>
        <c:noMultiLvlLbl val="0"/>
      </c:catAx>
      <c:valAx>
        <c:axId val="141139264"/>
        <c:scaling>
          <c:orientation val="minMax"/>
        </c:scaling>
        <c:delete val="0"/>
        <c:axPos val="l"/>
        <c:majorGridlines/>
        <c:numFmt formatCode="General" sourceLinked="1"/>
        <c:majorTickMark val="out"/>
        <c:minorTickMark val="none"/>
        <c:tickLblPos val="nextTo"/>
        <c:crossAx val="145368064"/>
        <c:crosses val="autoZero"/>
        <c:crossBetween val="midCat"/>
      </c:valAx>
    </c:plotArea>
    <c:legend>
      <c:legendPos val="r"/>
      <c:layout/>
      <c:overlay val="0"/>
    </c:legend>
    <c:plotVisOnly val="1"/>
    <c:dispBlanksAs val="zero"/>
    <c:showDLblsOverMax val="0"/>
  </c:chart>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4"/>
    </mc:Choice>
    <mc:Fallback>
      <c:style val="4"/>
    </mc:Fallback>
  </mc:AlternateContent>
  <c:chart>
    <c:title>
      <c:layout/>
      <c:overlay val="0"/>
    </c:title>
    <c:autoTitleDeleted val="0"/>
    <c:pivotFmts>
      <c:pivotFmt>
        <c:idx val="0"/>
      </c:pivotFmt>
      <c:pivotFmt>
        <c:idx val="1"/>
        <c:marker>
          <c:symbol val="none"/>
        </c:marker>
      </c:pivotFmt>
      <c:pivotFmt>
        <c:idx val="2"/>
        <c:marker>
          <c:symbol val="none"/>
        </c:marker>
      </c:pivotFmt>
    </c:pivotFmts>
    <c:view3D>
      <c:rotX val="30"/>
      <c:rotY val="0"/>
      <c:rAngAx val="0"/>
      <c:perspective val="30"/>
    </c:view3D>
    <c:floor>
      <c:thickness val="0"/>
    </c:floor>
    <c:sideWall>
      <c:thickness val="0"/>
    </c:sideWall>
    <c:backWall>
      <c:thickness val="0"/>
    </c:backWall>
    <c:plotArea>
      <c:layout/>
      <c:pie3DChart>
        <c:varyColors val="1"/>
        <c:ser>
          <c:idx val="0"/>
          <c:order val="0"/>
          <c:tx>
            <c:v>Total</c:v>
          </c:tx>
          <c:explosion val="25"/>
          <c:cat>
            <c:strLit>
              <c:ptCount val="2"/>
              <c:pt idx="0">
                <c:v>South</c:v>
              </c:pt>
              <c:pt idx="1">
                <c:v>West</c:v>
              </c:pt>
            </c:strLit>
          </c:cat>
          <c:val>
            <c:numLit>
              <c:formatCode>General</c:formatCode>
              <c:ptCount val="2"/>
              <c:pt idx="0">
                <c:v>7462.04</c:v>
              </c:pt>
              <c:pt idx="1">
                <c:v>5004.71</c:v>
              </c:pt>
            </c:numLit>
          </c:val>
        </c:ser>
        <c:dLbls>
          <c:showLegendKey val="0"/>
          <c:showVal val="0"/>
          <c:showCatName val="0"/>
          <c:showSerName val="0"/>
          <c:showPercent val="0"/>
          <c:showBubbleSize val="0"/>
          <c:showLeaderLines val="1"/>
        </c:dLbls>
      </c:pie3DChart>
    </c:plotArea>
    <c:legend>
      <c:legendPos val="r"/>
      <c:layout/>
      <c:overlay val="0"/>
    </c:legend>
    <c:plotVisOnly val="1"/>
    <c:dispBlanksAs val="gap"/>
    <c:showDLblsOverMax val="0"/>
  </c:chart>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doughnutChart>
        <c:varyColors val="1"/>
        <c:ser>
          <c:idx val="0"/>
          <c:order val="0"/>
          <c:tx>
            <c:v>Total</c:v>
          </c:tx>
          <c:explosion val="25"/>
          <c:cat>
            <c:strLit>
              <c:ptCount val="1"/>
              <c:pt idx="0">
                <c:v>Laptops</c:v>
              </c:pt>
            </c:strLit>
          </c:cat>
          <c:val>
            <c:numLit>
              <c:formatCode>General</c:formatCode>
              <c:ptCount val="1"/>
              <c:pt idx="0">
                <c:v>12466.75</c:v>
              </c:pt>
            </c:numLit>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ivotFmts>
      <c:pivotFmt>
        <c:idx val="0"/>
        <c:marker>
          <c:symbol val="none"/>
        </c:marker>
      </c:pivotFmt>
      <c:pivotFmt>
        <c:idx val="1"/>
        <c:marker>
          <c:symbol val="none"/>
        </c:marker>
      </c:pivotFmt>
      <c:pivotFmt>
        <c:idx val="2"/>
        <c:marker>
          <c:symbol val="none"/>
        </c:marker>
      </c:pivotFmt>
    </c:pivotFmts>
    <c:view3D>
      <c:rotX val="15"/>
      <c:rotY val="20"/>
      <c:rAngAx val="0"/>
      <c:perspective val="30"/>
    </c:view3D>
    <c:floor>
      <c:thickness val="0"/>
    </c:floor>
    <c:sideWall>
      <c:thickness val="0"/>
    </c:sideWall>
    <c:backWall>
      <c:thickness val="0"/>
    </c:backWall>
    <c:plotArea>
      <c:layout/>
      <c:bar3DChart>
        <c:barDir val="col"/>
        <c:grouping val="standard"/>
        <c:varyColors val="0"/>
        <c:ser>
          <c:idx val="0"/>
          <c:order val="0"/>
          <c:tx>
            <c:v>Total</c:v>
          </c:tx>
          <c:invertIfNegative val="0"/>
          <c:cat>
            <c:strLit>
              <c:ptCount val="1"/>
              <c:pt idx="0">
                <c:v>Technology Laptops</c:v>
              </c:pt>
            </c:strLit>
          </c:cat>
          <c:val>
            <c:numLit>
              <c:formatCode>General</c:formatCode>
              <c:ptCount val="1"/>
              <c:pt idx="0">
                <c:v>1399.25</c:v>
              </c:pt>
            </c:numLit>
          </c:val>
        </c:ser>
        <c:dLbls>
          <c:showLegendKey val="0"/>
          <c:showVal val="0"/>
          <c:showCatName val="0"/>
          <c:showSerName val="0"/>
          <c:showPercent val="0"/>
          <c:showBubbleSize val="0"/>
        </c:dLbls>
        <c:gapWidth val="150"/>
        <c:shape val="cone"/>
        <c:axId val="145369600"/>
        <c:axId val="187985856"/>
        <c:axId val="251174016"/>
      </c:bar3DChart>
      <c:catAx>
        <c:axId val="145369600"/>
        <c:scaling>
          <c:orientation val="minMax"/>
        </c:scaling>
        <c:delete val="0"/>
        <c:axPos val="b"/>
        <c:majorTickMark val="out"/>
        <c:minorTickMark val="none"/>
        <c:tickLblPos val="nextTo"/>
        <c:crossAx val="187985856"/>
        <c:crosses val="autoZero"/>
        <c:auto val="1"/>
        <c:lblAlgn val="ctr"/>
        <c:lblOffset val="100"/>
        <c:noMultiLvlLbl val="0"/>
      </c:catAx>
      <c:valAx>
        <c:axId val="187985856"/>
        <c:scaling>
          <c:orientation val="minMax"/>
        </c:scaling>
        <c:delete val="0"/>
        <c:axPos val="l"/>
        <c:majorGridlines/>
        <c:numFmt formatCode="General" sourceLinked="1"/>
        <c:majorTickMark val="out"/>
        <c:minorTickMark val="none"/>
        <c:tickLblPos val="nextTo"/>
        <c:crossAx val="145369600"/>
        <c:crosses val="autoZero"/>
        <c:crossBetween val="between"/>
      </c:valAx>
      <c:serAx>
        <c:axId val="251174016"/>
        <c:scaling>
          <c:orientation val="minMax"/>
        </c:scaling>
        <c:delete val="0"/>
        <c:axPos val="b"/>
        <c:majorTickMark val="out"/>
        <c:minorTickMark val="none"/>
        <c:tickLblPos val="nextTo"/>
        <c:crossAx val="187985856"/>
        <c:crosses val="autoZero"/>
      </c:serAx>
    </c:plotArea>
    <c:legend>
      <c:legendPos val="r"/>
      <c:layout/>
      <c:overlay val="0"/>
    </c:legend>
    <c:plotVisOnly val="1"/>
    <c:dispBlanksAs val="gap"/>
    <c:showDLblsOverMax val="0"/>
  </c:chart>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ivotFmts>
      <c:pivotFmt>
        <c:idx val="0"/>
        <c:dLbl>
          <c:idx val="0"/>
          <c:showLegendKey val="0"/>
          <c:showVal val="1"/>
          <c:showCatName val="0"/>
          <c:showSerName val="0"/>
          <c:showPercent val="0"/>
          <c:showBubbleSize val="0"/>
        </c:dLbl>
      </c:pivotFmt>
      <c:pivotFmt>
        <c:idx val="1"/>
        <c:dLbl>
          <c:idx val="0"/>
          <c:spPr>
            <a:solidFill>
              <a:schemeClr val="bg2"/>
            </a:solidFill>
          </c:spPr>
          <c:txPr>
            <a:bodyPr/>
            <a:lstStyle/>
            <a:p>
              <a:pPr>
                <a:defRPr sz="800" b="1">
                  <a:solidFill>
                    <a:srgbClr val="FF0000"/>
                  </a:solidFill>
                </a:defRPr>
              </a:pPr>
              <a:endParaRPr lang="en-US"/>
            </a:p>
          </c:txPr>
          <c:showLegendKey val="0"/>
          <c:showVal val="1"/>
          <c:showCatName val="0"/>
          <c:showSerName val="0"/>
          <c:showPercent val="0"/>
          <c:showBubbleSize val="0"/>
        </c:dLbl>
      </c:pivotFmt>
      <c:pivotFmt>
        <c:idx val="2"/>
        <c:dLbl>
          <c:idx val="0"/>
          <c:spPr>
            <a:solidFill>
              <a:schemeClr val="bg2"/>
            </a:solidFill>
          </c:spPr>
          <c:txPr>
            <a:bodyPr/>
            <a:lstStyle/>
            <a:p>
              <a:pPr>
                <a:defRPr sz="800" b="1">
                  <a:solidFill>
                    <a:srgbClr val="FF0000"/>
                  </a:solidFill>
                </a:defRPr>
              </a:pPr>
              <a:endParaRPr lang="en-US"/>
            </a:p>
          </c:txPr>
          <c:showLegendKey val="0"/>
          <c:showVal val="1"/>
          <c:showCatName val="0"/>
          <c:showSerName val="0"/>
          <c:showPercent val="0"/>
          <c:showBubbleSize val="0"/>
        </c:dLbl>
      </c:pivotFmt>
    </c:pivotFmts>
    <c:plotArea>
      <c:layout/>
      <c:lineChart>
        <c:grouping val="stacked"/>
        <c:varyColors val="0"/>
        <c:ser>
          <c:idx val="0"/>
          <c:order val="0"/>
          <c:tx>
            <c:v>Total</c:v>
          </c:tx>
          <c:dLbls>
            <c:spPr>
              <a:solidFill>
                <a:schemeClr val="bg2"/>
              </a:solidFill>
            </c:spPr>
            <c:txPr>
              <a:bodyPr/>
              <a:lstStyle/>
              <a:p>
                <a:pPr>
                  <a:defRPr sz="800" b="1">
                    <a:solidFill>
                      <a:srgbClr val="FF0000"/>
                    </a:solidFill>
                  </a:defRPr>
                </a:pPr>
                <a:endParaRPr lang="en-US"/>
              </a:p>
            </c:txPr>
            <c:showLegendKey val="0"/>
            <c:showVal val="1"/>
            <c:showCatName val="0"/>
            <c:showSerName val="0"/>
            <c:showPercent val="0"/>
            <c:showBubbleSize val="0"/>
            <c:showLeaderLines val="0"/>
          </c:dLbls>
          <c:cat>
            <c:strLit>
              <c:ptCount val="1"/>
              <c:pt idx="0">
                <c:v>Jan</c:v>
              </c:pt>
            </c:strLit>
          </c:cat>
          <c:val>
            <c:numLit>
              <c:formatCode>General</c:formatCode>
              <c:ptCount val="1"/>
              <c:pt idx="0">
                <c:v>12466.75</c:v>
              </c:pt>
            </c:numLit>
          </c:val>
          <c:smooth val="0"/>
        </c:ser>
        <c:dLbls>
          <c:showLegendKey val="0"/>
          <c:showVal val="0"/>
          <c:showCatName val="0"/>
          <c:showSerName val="0"/>
          <c:showPercent val="0"/>
          <c:showBubbleSize val="0"/>
        </c:dLbls>
        <c:marker val="1"/>
        <c:smooth val="0"/>
        <c:axId val="145370624"/>
        <c:axId val="149161664"/>
      </c:lineChart>
      <c:catAx>
        <c:axId val="145370624"/>
        <c:scaling>
          <c:orientation val="minMax"/>
        </c:scaling>
        <c:delete val="0"/>
        <c:axPos val="b"/>
        <c:majorTickMark val="out"/>
        <c:minorTickMark val="none"/>
        <c:tickLblPos val="nextTo"/>
        <c:crossAx val="149161664"/>
        <c:crosses val="autoZero"/>
        <c:auto val="1"/>
        <c:lblAlgn val="ctr"/>
        <c:lblOffset val="100"/>
        <c:noMultiLvlLbl val="0"/>
      </c:catAx>
      <c:valAx>
        <c:axId val="149161664"/>
        <c:scaling>
          <c:orientation val="minMax"/>
        </c:scaling>
        <c:delete val="1"/>
        <c:axPos val="l"/>
        <c:majorGridlines/>
        <c:numFmt formatCode="General" sourceLinked="1"/>
        <c:majorTickMark val="out"/>
        <c:minorTickMark val="none"/>
        <c:tickLblPos val="nextTo"/>
        <c:crossAx val="145370624"/>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304800</xdr:colOff>
      <xdr:row>16</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0</xdr:rowOff>
    </xdr:from>
    <xdr:to>
      <xdr:col>7</xdr:col>
      <xdr:colOff>304800</xdr:colOff>
      <xdr:row>34</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xdr:row>
      <xdr:rowOff>0</xdr:rowOff>
    </xdr:from>
    <xdr:to>
      <xdr:col>15</xdr:col>
      <xdr:colOff>304800</xdr:colOff>
      <xdr:row>16</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19</xdr:row>
      <xdr:rowOff>0</xdr:rowOff>
    </xdr:from>
    <xdr:to>
      <xdr:col>15</xdr:col>
      <xdr:colOff>304800</xdr:colOff>
      <xdr:row>34</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0</xdr:colOff>
      <xdr:row>1</xdr:row>
      <xdr:rowOff>0</xdr:rowOff>
    </xdr:from>
    <xdr:to>
      <xdr:col>27</xdr:col>
      <xdr:colOff>129540</xdr:colOff>
      <xdr:row>22</xdr:row>
      <xdr:rowOff>91440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335280</xdr:colOff>
      <xdr:row>24</xdr:row>
      <xdr:rowOff>83820</xdr:rowOff>
    </xdr:from>
    <xdr:to>
      <xdr:col>19</xdr:col>
      <xdr:colOff>335280</xdr:colOff>
      <xdr:row>37</xdr:row>
      <xdr:rowOff>173355</xdr:rowOff>
    </xdr:to>
    <mc:AlternateContent xmlns:mc="http://schemas.openxmlformats.org/markup-compatibility/2006">
      <mc:Choice xmlns:a14="http://schemas.microsoft.com/office/drawing/2010/main" Requires="a14">
        <xdr:graphicFrame macro="">
          <xdr:nvGraphicFramePr>
            <xdr:cNvPr id="8" name="Order Date 1"/>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dr:sp macro="" textlink="">
          <xdr:nvSpPr>
            <xdr:cNvPr id="0" name=""/>
            <xdr:cNvSpPr>
              <a:spLocks noTextEdit="1"/>
            </xdr:cNvSpPr>
          </xdr:nvSpPr>
          <xdr:spPr>
            <a:xfrm>
              <a:off x="10088880" y="4472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Y%206%20(sort%20&amp;%20Filter).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995.448284027778" createdVersion="4" refreshedVersion="4" minRefreshableVersion="3" recordCount="37">
  <cacheSource type="worksheet">
    <worksheetSource ref="C4:P41" sheet="DAY 9" r:id="rId2"/>
  </cacheSource>
  <cacheFields count="14">
    <cacheField name="Order ID" numFmtId="0">
      <sharedItems/>
    </cacheField>
    <cacheField name="Order Date" numFmtId="14">
      <sharedItems containsSemiMixedTypes="0" containsNonDate="0" containsDate="1" containsString="0" minDate="2023-01-21T00:00:00" maxDate="2023-12-27T00:00:00" count="35">
        <d v="2023-04-10T00:00:00"/>
        <d v="2023-08-03T00:00:00"/>
        <d v="2023-11-27T00:00:00"/>
        <d v="2023-03-13T00:00:00"/>
        <d v="2023-01-22T00:00:00"/>
        <d v="2023-09-28T00:00:00"/>
        <d v="2023-04-13T00:00:00"/>
        <d v="2023-10-21T00:00:00"/>
        <d v="2023-05-02T00:00:00"/>
        <d v="2023-07-07T00:00:00"/>
        <d v="2023-09-15T00:00:00"/>
        <d v="2023-11-10T00:00:00"/>
        <d v="2023-02-18T00:00:00"/>
        <d v="2023-09-10T00:00:00"/>
        <d v="2023-06-19T00:00:00"/>
        <d v="2023-12-26T00:00:00"/>
        <d v="2023-07-11T00:00:00"/>
        <d v="2023-01-21T00:00:00"/>
        <d v="2023-05-30T00:00:00"/>
        <d v="2023-06-01T00:00:00"/>
        <d v="2023-06-10T00:00:00"/>
        <d v="2023-11-05T00:00:00"/>
        <d v="2023-05-11T00:00:00"/>
        <d v="2023-06-24T00:00:00"/>
        <d v="2023-04-17T00:00:00"/>
        <d v="2023-12-11T00:00:00"/>
        <d v="2023-08-24T00:00:00"/>
        <d v="2023-10-04T00:00:00"/>
        <d v="2023-12-10T00:00:00"/>
        <d v="2023-07-08T00:00:00"/>
        <d v="2023-03-29T00:00:00"/>
        <d v="2023-12-15T00:00:00"/>
        <d v="2023-02-20T00:00:00"/>
        <d v="2023-07-09T00:00:00"/>
        <d v="2023-02-28T00:00:00"/>
      </sharedItems>
      <fieldGroup base="1">
        <rangePr groupBy="months" startDate="2023-01-21T00:00:00" endDate="2023-12-27T00:00:00"/>
        <groupItems count="14">
          <s v="&lt;21-01-2023"/>
          <s v="Jan"/>
          <s v="Feb"/>
          <s v="Mar"/>
          <s v="Apr"/>
          <s v="May"/>
          <s v="Jun"/>
          <s v="Jul"/>
          <s v="Aug"/>
          <s v="Sep"/>
          <s v="Oct"/>
          <s v="Nov"/>
          <s v="Dec"/>
          <s v="&gt;27-12-2023"/>
        </groupItems>
      </fieldGroup>
    </cacheField>
    <cacheField name="Customer Name" numFmtId="0">
      <sharedItems count="9">
        <s v="Amit"/>
        <s v="Karan"/>
        <s v="Neha"/>
        <s v="Pooja"/>
        <s v="Priya"/>
        <s v="Raj"/>
        <s v="Simran"/>
        <s v="Sneha"/>
        <s v="Vikram"/>
      </sharedItems>
    </cacheField>
    <cacheField name="Region" numFmtId="0">
      <sharedItems count="4">
        <s v="East"/>
        <s v="South"/>
        <s v="West"/>
        <s v="North"/>
      </sharedItems>
    </cacheField>
    <cacheField name="Category" numFmtId="0">
      <sharedItems count="3">
        <s v="Technology"/>
        <s v="Furniture"/>
        <s v="Office Supplies"/>
      </sharedItems>
    </cacheField>
    <cacheField name="Sub-Category" numFmtId="0">
      <sharedItems count="9">
        <s v="Mobiles"/>
        <s v="Printers"/>
        <s v="Bookcases"/>
        <s v="Laptops"/>
        <s v="Pens"/>
        <s v="Paper"/>
        <s v="Binders"/>
        <s v="Chairs"/>
        <s v="Tables"/>
      </sharedItems>
    </cacheField>
    <cacheField name="Quantity" numFmtId="0">
      <sharedItems containsSemiMixedTypes="0" containsString="0" containsNumber="1" containsInteger="1" minValue="1" maxValue="9"/>
    </cacheField>
    <cacheField name="Unit Price" numFmtId="0">
      <sharedItems containsSemiMixedTypes="0" containsString="0" containsNumber="1" minValue="131.52000000000001" maxValue="1962.63"/>
    </cacheField>
    <cacheField name="Discount" numFmtId="0">
      <sharedItems containsSemiMixedTypes="0" containsString="0" containsNumber="1" minValue="0" maxValue="0.2"/>
    </cacheField>
    <cacheField name="Total Sales" numFmtId="0">
      <sharedItems containsSemiMixedTypes="0" containsString="0" containsNumber="1" minValue="376.77" maxValue="12618.01"/>
    </cacheField>
    <cacheField name="Profit" numFmtId="0">
      <sharedItems containsSemiMixedTypes="0" containsString="0" containsNumber="1" minValue="65.86" maxValue="2889.4"/>
    </cacheField>
    <cacheField name="Payment Mode" numFmtId="0">
      <sharedItems count="4">
        <s v="Cash"/>
        <s v="Net Banking"/>
        <s v="Credit Card"/>
        <s v="UPI"/>
      </sharedItems>
    </cacheField>
    <cacheField name="Discount2" numFmtId="0">
      <sharedItems containsSemiMixedTypes="0" containsString="0" containsNumber="1" minValue="0" maxValue="142.20099999999999"/>
    </cacheField>
    <cacheField name="sale 1" numFmtId="0">
      <sharedItems containsSemiMixedTypes="0" containsString="0" containsNumber="1" minValue="113" maxValue="14120.833333333299"/>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37">
  <r>
    <s v="ORD-1012"/>
    <x v="0"/>
    <x v="0"/>
    <x v="0"/>
    <x v="0"/>
    <x v="0"/>
    <n v="7"/>
    <n v="1377.06"/>
    <n v="0.1"/>
    <n v="8675.4599999999991"/>
    <n v="1235.5"/>
    <x v="0"/>
    <n v="0"/>
    <n v="113"/>
  </r>
  <r>
    <s v="ORD-1009"/>
    <x v="1"/>
    <x v="0"/>
    <x v="1"/>
    <x v="0"/>
    <x v="1"/>
    <n v="6"/>
    <n v="515.65"/>
    <n v="0"/>
    <n v="3093.91"/>
    <n v="467.05"/>
    <x v="1"/>
    <n v="0"/>
    <n v="567"/>
  </r>
  <r>
    <s v="ORD-1010"/>
    <x v="2"/>
    <x v="0"/>
    <x v="0"/>
    <x v="0"/>
    <x v="1"/>
    <n v="2"/>
    <n v="1453.31"/>
    <n v="0.2"/>
    <n v="2325.3000000000002"/>
    <n v="281.85000000000002"/>
    <x v="2"/>
    <n v="0"/>
    <n v="890"/>
  </r>
  <r>
    <s v="ORD-1004"/>
    <x v="3"/>
    <x v="1"/>
    <x v="0"/>
    <x v="1"/>
    <x v="2"/>
    <n v="7"/>
    <n v="1003.2"/>
    <n v="0.2"/>
    <n v="5617.94"/>
    <n v="995.18"/>
    <x v="3"/>
    <n v="0"/>
    <n v="1300.3333333333301"/>
  </r>
  <r>
    <s v="ORD-1025"/>
    <x v="4"/>
    <x v="1"/>
    <x v="2"/>
    <x v="0"/>
    <x v="3"/>
    <n v="3"/>
    <n v="1962.63"/>
    <n v="0.15"/>
    <n v="5004.71"/>
    <n v="618.64"/>
    <x v="3"/>
    <n v="0"/>
    <n v="1688.8333333333301"/>
  </r>
  <r>
    <s v="ORD-1002"/>
    <x v="5"/>
    <x v="1"/>
    <x v="0"/>
    <x v="1"/>
    <x v="2"/>
    <n v="8"/>
    <n v="621.97"/>
    <n v="0.1"/>
    <n v="4478.1899999999996"/>
    <n v="752.58"/>
    <x v="0"/>
    <n v="0"/>
    <n v="2077.3333333333298"/>
  </r>
  <r>
    <s v="ORD-1000"/>
    <x v="6"/>
    <x v="1"/>
    <x v="1"/>
    <x v="2"/>
    <x v="4"/>
    <n v="3"/>
    <n v="1443.03"/>
    <n v="0.1"/>
    <n v="3896.18"/>
    <n v="964.48"/>
    <x v="3"/>
    <n v="0"/>
    <n v="2465.8333333333298"/>
  </r>
  <r>
    <s v="ORD-1020"/>
    <x v="7"/>
    <x v="1"/>
    <x v="2"/>
    <x v="2"/>
    <x v="5"/>
    <n v="9"/>
    <n v="434.26"/>
    <n v="0.15"/>
    <n v="3322.07"/>
    <n v="363.14"/>
    <x v="1"/>
    <n v="0"/>
    <n v="2854.3333333333298"/>
  </r>
  <r>
    <s v="ORD-1008"/>
    <x v="8"/>
    <x v="1"/>
    <x v="3"/>
    <x v="1"/>
    <x v="2"/>
    <n v="7"/>
    <n v="412.85"/>
    <n v="0.1"/>
    <n v="2600.9299999999998"/>
    <n v="401.46"/>
    <x v="3"/>
    <n v="0"/>
    <n v="3242.8333333333298"/>
  </r>
  <r>
    <s v="ORD-1032"/>
    <x v="9"/>
    <x v="1"/>
    <x v="0"/>
    <x v="2"/>
    <x v="5"/>
    <n v="1"/>
    <n v="1672.95"/>
    <n v="0.15"/>
    <n v="1422.01"/>
    <n v="147.83000000000001"/>
    <x v="1"/>
    <n v="142.20099999999999"/>
    <n v="3631.3333333333298"/>
  </r>
  <r>
    <s v="ORD-1018"/>
    <x v="10"/>
    <x v="2"/>
    <x v="2"/>
    <x v="2"/>
    <x v="6"/>
    <n v="8"/>
    <n v="1786.76"/>
    <n v="0.15"/>
    <n v="12149.99"/>
    <n v="863.07"/>
    <x v="0"/>
    <n v="0"/>
    <n v="4019.8333333333298"/>
  </r>
  <r>
    <s v="ORD-1024"/>
    <x v="11"/>
    <x v="2"/>
    <x v="3"/>
    <x v="1"/>
    <x v="7"/>
    <n v="5"/>
    <n v="1778.64"/>
    <n v="0.15"/>
    <n v="7559.21"/>
    <n v="407.17"/>
    <x v="2"/>
    <n v="0"/>
    <n v="4408.3333333333303"/>
  </r>
  <r>
    <s v="ORD-1029"/>
    <x v="12"/>
    <x v="2"/>
    <x v="2"/>
    <x v="1"/>
    <x v="7"/>
    <n v="7"/>
    <n v="1052.8800000000001"/>
    <n v="0.2"/>
    <n v="5896.13"/>
    <n v="581.16999999999996"/>
    <x v="0"/>
    <n v="0"/>
    <n v="4796.8333333333303"/>
  </r>
  <r>
    <s v="ORD-1026"/>
    <x v="13"/>
    <x v="2"/>
    <x v="1"/>
    <x v="1"/>
    <x v="2"/>
    <n v="2"/>
    <n v="1157.92"/>
    <n v="0.05"/>
    <n v="2200.0500000000002"/>
    <n v="621.52"/>
    <x v="1"/>
    <n v="0"/>
    <n v="5185.3333333333303"/>
  </r>
  <r>
    <s v="ORD-1031"/>
    <x v="14"/>
    <x v="3"/>
    <x v="0"/>
    <x v="2"/>
    <x v="5"/>
    <n v="6"/>
    <n v="1222.58"/>
    <n v="0"/>
    <n v="7335.5"/>
    <n v="435.27"/>
    <x v="0"/>
    <n v="0"/>
    <n v="5573.8333333333303"/>
  </r>
  <r>
    <s v="ORD-1013"/>
    <x v="15"/>
    <x v="3"/>
    <x v="2"/>
    <x v="1"/>
    <x v="8"/>
    <n v="6"/>
    <n v="857.77"/>
    <n v="0"/>
    <n v="5146.6000000000004"/>
    <n v="451.25"/>
    <x v="2"/>
    <n v="0"/>
    <n v="5962.3333333333303"/>
  </r>
  <r>
    <s v="ORD-1021"/>
    <x v="16"/>
    <x v="3"/>
    <x v="0"/>
    <x v="2"/>
    <x v="4"/>
    <n v="1"/>
    <n v="685.32"/>
    <n v="0.15"/>
    <n v="582.52"/>
    <n v="103.22"/>
    <x v="0"/>
    <n v="0"/>
    <n v="6350.8333333333303"/>
  </r>
  <r>
    <s v="ORD-1006"/>
    <x v="17"/>
    <x v="4"/>
    <x v="1"/>
    <x v="0"/>
    <x v="3"/>
    <n v="5"/>
    <n v="1755.78"/>
    <n v="0.15"/>
    <n v="7462.04"/>
    <n v="780.61"/>
    <x v="0"/>
    <n v="0"/>
    <n v="6739.3333333333303"/>
  </r>
  <r>
    <s v="ORD-1033"/>
    <x v="5"/>
    <x v="4"/>
    <x v="2"/>
    <x v="0"/>
    <x v="3"/>
    <n v="4"/>
    <n v="881.57"/>
    <n v="0.1"/>
    <n v="3173.66"/>
    <n v="664.43"/>
    <x v="2"/>
    <n v="0"/>
    <n v="7127.8333333333303"/>
  </r>
  <r>
    <s v="ORD-1016"/>
    <x v="18"/>
    <x v="4"/>
    <x v="2"/>
    <x v="2"/>
    <x v="4"/>
    <n v="3"/>
    <n v="534.25"/>
    <n v="0.05"/>
    <n v="1522.6"/>
    <n v="449.99"/>
    <x v="2"/>
    <n v="0"/>
    <n v="7516.3333333333303"/>
  </r>
  <r>
    <s v="ORD-1014"/>
    <x v="19"/>
    <x v="4"/>
    <x v="2"/>
    <x v="2"/>
    <x v="4"/>
    <n v="4"/>
    <n v="131.52000000000001"/>
    <n v="0.1"/>
    <n v="473.46"/>
    <n v="119.49"/>
    <x v="3"/>
    <n v="0"/>
    <n v="7904.8333333333303"/>
  </r>
  <r>
    <s v="ORD-1023"/>
    <x v="20"/>
    <x v="4"/>
    <x v="0"/>
    <x v="1"/>
    <x v="2"/>
    <n v="1"/>
    <n v="470.96"/>
    <n v="0.2"/>
    <n v="376.77"/>
    <n v="65.86"/>
    <x v="1"/>
    <n v="37.677"/>
    <n v="8293.3333333333303"/>
  </r>
  <r>
    <s v="ORD-1007"/>
    <x v="6"/>
    <x v="5"/>
    <x v="2"/>
    <x v="2"/>
    <x v="6"/>
    <n v="7"/>
    <n v="1802.57"/>
    <n v="0"/>
    <n v="12618.01"/>
    <n v="1489.34"/>
    <x v="2"/>
    <n v="0"/>
    <n v="8681.8333333333303"/>
  </r>
  <r>
    <s v="ORD-1017"/>
    <x v="21"/>
    <x v="5"/>
    <x v="0"/>
    <x v="0"/>
    <x v="3"/>
    <n v="5"/>
    <n v="1810.79"/>
    <n v="0.1"/>
    <n v="8148.57"/>
    <n v="791.85"/>
    <x v="3"/>
    <n v="0"/>
    <n v="9070.3333333333303"/>
  </r>
  <r>
    <s v="ORD-1015"/>
    <x v="22"/>
    <x v="5"/>
    <x v="3"/>
    <x v="1"/>
    <x v="7"/>
    <n v="8"/>
    <n v="834.8"/>
    <n v="0.05"/>
    <n v="6344.46"/>
    <n v="1645.93"/>
    <x v="0"/>
    <n v="0"/>
    <n v="9458.8333333333303"/>
  </r>
  <r>
    <s v="ORD-1035"/>
    <x v="23"/>
    <x v="6"/>
    <x v="1"/>
    <x v="0"/>
    <x v="3"/>
    <n v="7"/>
    <n v="913.8"/>
    <n v="0.15"/>
    <n v="5437.1"/>
    <n v="827.73"/>
    <x v="2"/>
    <n v="0"/>
    <n v="9847.3333333333303"/>
  </r>
  <r>
    <s v="ORD-1003"/>
    <x v="24"/>
    <x v="6"/>
    <x v="1"/>
    <x v="2"/>
    <x v="5"/>
    <n v="5"/>
    <n v="1166.43"/>
    <n v="0.1"/>
    <n v="5248.92"/>
    <n v="948.39"/>
    <x v="1"/>
    <n v="0"/>
    <n v="10235.833333333299"/>
  </r>
  <r>
    <s v="ORD-1028"/>
    <x v="25"/>
    <x v="6"/>
    <x v="0"/>
    <x v="1"/>
    <x v="7"/>
    <n v="6"/>
    <n v="783.03"/>
    <n v="0.2"/>
    <n v="3758.56"/>
    <n v="466.54"/>
    <x v="0"/>
    <n v="0"/>
    <n v="10624.333333333299"/>
  </r>
  <r>
    <s v="ORD-1027"/>
    <x v="26"/>
    <x v="6"/>
    <x v="3"/>
    <x v="2"/>
    <x v="6"/>
    <n v="7"/>
    <n v="366.16"/>
    <n v="0.1"/>
    <n v="2306.81"/>
    <n v="285.63"/>
    <x v="1"/>
    <n v="0"/>
    <n v="11012.833333333299"/>
  </r>
  <r>
    <s v="ORD-1022"/>
    <x v="27"/>
    <x v="7"/>
    <x v="3"/>
    <x v="0"/>
    <x v="0"/>
    <n v="6"/>
    <n v="1959.9"/>
    <n v="0.1"/>
    <n v="10583.44"/>
    <n v="2889.4"/>
    <x v="0"/>
    <n v="0"/>
    <n v="11401.333333333299"/>
  </r>
  <r>
    <s v="ORD-1019"/>
    <x v="28"/>
    <x v="7"/>
    <x v="1"/>
    <x v="0"/>
    <x v="1"/>
    <n v="9"/>
    <n v="1360.65"/>
    <n v="0.2"/>
    <n v="9796.7000000000007"/>
    <n v="1185.21"/>
    <x v="0"/>
    <n v="0"/>
    <n v="11789.833333333299"/>
  </r>
  <r>
    <s v="ORD-1005"/>
    <x v="29"/>
    <x v="7"/>
    <x v="1"/>
    <x v="1"/>
    <x v="2"/>
    <n v="4"/>
    <n v="1891.42"/>
    <n v="0.1"/>
    <n v="6809.12"/>
    <n v="1523.17"/>
    <x v="2"/>
    <n v="0"/>
    <n v="12178.333333333299"/>
  </r>
  <r>
    <s v="ORD-1011"/>
    <x v="30"/>
    <x v="7"/>
    <x v="3"/>
    <x v="0"/>
    <x v="0"/>
    <n v="6"/>
    <n v="162.80000000000001"/>
    <n v="0"/>
    <n v="976.78"/>
    <n v="203.74"/>
    <x v="1"/>
    <n v="0"/>
    <n v="12566.833333333299"/>
  </r>
  <r>
    <s v="ORD-1001"/>
    <x v="31"/>
    <x v="8"/>
    <x v="0"/>
    <x v="0"/>
    <x v="3"/>
    <n v="7"/>
    <n v="1715.07"/>
    <n v="0.15"/>
    <n v="10204.69"/>
    <n v="1354.41"/>
    <x v="0"/>
    <n v="0"/>
    <n v="12955.333333333299"/>
  </r>
  <r>
    <s v="ORD-1036"/>
    <x v="32"/>
    <x v="8"/>
    <x v="2"/>
    <x v="2"/>
    <x v="6"/>
    <n v="6"/>
    <n v="1457.73"/>
    <n v="0.2"/>
    <n v="6997.11"/>
    <n v="839.54"/>
    <x v="3"/>
    <n v="0"/>
    <n v="13343.833333333299"/>
  </r>
  <r>
    <s v="ORD-1034"/>
    <x v="33"/>
    <x v="8"/>
    <x v="1"/>
    <x v="0"/>
    <x v="0"/>
    <n v="3"/>
    <n v="1610.85"/>
    <n v="0.1"/>
    <n v="4349.3100000000004"/>
    <n v="694.77"/>
    <x v="2"/>
    <n v="0"/>
    <n v="13732.333333333299"/>
  </r>
  <r>
    <s v="ORD-1030"/>
    <x v="34"/>
    <x v="8"/>
    <x v="0"/>
    <x v="0"/>
    <x v="1"/>
    <n v="7"/>
    <n v="152.47"/>
    <n v="0.05"/>
    <n v="1013.94"/>
    <n v="74.52"/>
    <x v="0"/>
    <n v="0"/>
    <n v="14120.8333333332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D3:E6" firstHeaderRow="1" firstDataRow="1" firstDataCol="1"/>
  <pivotFields count="14">
    <pivotField showAll="0"/>
    <pivotField numFmtId="14" showAll="0">
      <items count="15">
        <item h="1" x="0"/>
        <item h="1" x="1"/>
        <item x="2"/>
        <item h="1" x="3"/>
        <item h="1" x="4"/>
        <item h="1" x="5"/>
        <item h="1" x="6"/>
        <item h="1" x="7"/>
        <item h="1" x="8"/>
        <item h="1" x="9"/>
        <item h="1" x="10"/>
        <item h="1" x="11"/>
        <item h="1" x="12"/>
        <item h="1" x="13"/>
        <item t="default"/>
      </items>
    </pivotField>
    <pivotField showAll="0">
      <items count="10">
        <item x="0"/>
        <item x="1"/>
        <item x="2"/>
        <item x="3"/>
        <item x="4"/>
        <item x="5"/>
        <item x="6"/>
        <item x="7"/>
        <item x="8"/>
        <item t="default"/>
      </items>
    </pivotField>
    <pivotField axis="axisRow" showAll="0">
      <items count="5">
        <item x="0"/>
        <item x="3"/>
        <item x="1"/>
        <item x="2"/>
        <item t="default"/>
      </items>
    </pivotField>
    <pivotField showAll="0"/>
    <pivotField showAll="0"/>
    <pivotField showAll="0"/>
    <pivotField showAll="0"/>
    <pivotField showAll="0"/>
    <pivotField dataField="1" showAll="0"/>
    <pivotField showAll="0"/>
    <pivotField showAll="0"/>
    <pivotField showAll="0"/>
    <pivotField showAll="0"/>
  </pivotFields>
  <rowFields count="1">
    <field x="3"/>
  </rowFields>
  <rowItems count="3">
    <i>
      <x/>
    </i>
    <i>
      <x v="3"/>
    </i>
    <i t="grand">
      <x/>
    </i>
  </rowItems>
  <colItems count="1">
    <i/>
  </colItems>
  <dataFields count="1">
    <dataField name="Sum of Total Sale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G3:H7" firstHeaderRow="1" firstDataRow="1" firstDataCol="1"/>
  <pivotFields count="14">
    <pivotField showAll="0"/>
    <pivotField numFmtId="14" showAll="0">
      <items count="15">
        <item h="1" x="0"/>
        <item h="1" x="1"/>
        <item x="2"/>
        <item h="1" x="3"/>
        <item h="1" x="4"/>
        <item h="1" x="5"/>
        <item h="1" x="6"/>
        <item h="1" x="7"/>
        <item h="1" x="8"/>
        <item h="1" x="9"/>
        <item h="1" x="10"/>
        <item h="1" x="11"/>
        <item h="1" x="12"/>
        <item h="1" x="13"/>
        <item t="default"/>
      </items>
    </pivotField>
    <pivotField showAll="0">
      <items count="10">
        <item x="0"/>
        <item x="1"/>
        <item x="2"/>
        <item x="3"/>
        <item x="4"/>
        <item x="5"/>
        <item x="6"/>
        <item x="7"/>
        <item x="8"/>
        <item t="default"/>
      </items>
    </pivotField>
    <pivotField showAll="0"/>
    <pivotField showAll="0">
      <items count="4">
        <item x="1"/>
        <item x="2"/>
        <item x="0"/>
        <item t="default"/>
      </items>
    </pivotField>
    <pivotField axis="axisRow" showAll="0">
      <items count="10">
        <item x="6"/>
        <item x="2"/>
        <item x="7"/>
        <item x="3"/>
        <item x="0"/>
        <item x="5"/>
        <item x="4"/>
        <item x="1"/>
        <item x="8"/>
        <item t="default"/>
      </items>
    </pivotField>
    <pivotField showAll="0"/>
    <pivotField showAll="0"/>
    <pivotField showAll="0"/>
    <pivotField dataField="1" showAll="0"/>
    <pivotField showAll="0"/>
    <pivotField showAll="0"/>
    <pivotField showAll="0"/>
    <pivotField showAll="0"/>
  </pivotFields>
  <rowFields count="1">
    <field x="5"/>
  </rowFields>
  <rowItems count="4">
    <i>
      <x/>
    </i>
    <i>
      <x v="2"/>
    </i>
    <i>
      <x v="7"/>
    </i>
    <i t="grand">
      <x/>
    </i>
  </rowItems>
  <colItems count="1">
    <i/>
  </colItems>
  <dataFields count="1">
    <dataField name="Sum of Total Sale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J3:K10" firstHeaderRow="1" firstDataRow="1" firstDataCol="1"/>
  <pivotFields count="14">
    <pivotField showAll="0"/>
    <pivotField numFmtId="14" showAll="0">
      <items count="15">
        <item h="1" x="0"/>
        <item h="1" x="1"/>
        <item x="2"/>
        <item h="1" x="3"/>
        <item h="1" x="4"/>
        <item h="1" x="5"/>
        <item h="1" x="6"/>
        <item h="1" x="7"/>
        <item h="1" x="8"/>
        <item h="1" x="9"/>
        <item h="1" x="10"/>
        <item h="1" x="11"/>
        <item h="1" x="12"/>
        <item h="1" x="13"/>
        <item t="default"/>
      </items>
    </pivotField>
    <pivotField showAll="0">
      <items count="10">
        <item x="0"/>
        <item x="1"/>
        <item x="2"/>
        <item x="3"/>
        <item x="4"/>
        <item x="5"/>
        <item x="6"/>
        <item x="7"/>
        <item x="8"/>
        <item t="default"/>
      </items>
    </pivotField>
    <pivotField showAll="0"/>
    <pivotField axis="axisRow" showAll="0">
      <items count="4">
        <item x="1"/>
        <item x="2"/>
        <item x="0"/>
        <item t="default"/>
      </items>
    </pivotField>
    <pivotField axis="axisRow" showAll="0">
      <items count="10">
        <item x="6"/>
        <item x="2"/>
        <item x="7"/>
        <item x="3"/>
        <item x="0"/>
        <item x="5"/>
        <item x="4"/>
        <item x="1"/>
        <item x="8"/>
        <item t="default"/>
      </items>
    </pivotField>
    <pivotField showAll="0"/>
    <pivotField showAll="0"/>
    <pivotField showAll="0"/>
    <pivotField showAll="0"/>
    <pivotField dataField="1" showAll="0"/>
    <pivotField showAll="0"/>
    <pivotField showAll="0"/>
    <pivotField showAll="0"/>
  </pivotFields>
  <rowFields count="2">
    <field x="4"/>
    <field x="5"/>
  </rowFields>
  <rowItems count="7">
    <i>
      <x/>
    </i>
    <i r="1">
      <x v="2"/>
    </i>
    <i>
      <x v="1"/>
    </i>
    <i r="1">
      <x/>
    </i>
    <i>
      <x v="2"/>
    </i>
    <i r="1">
      <x v="7"/>
    </i>
    <i t="grand">
      <x/>
    </i>
  </rowItems>
  <colItems count="1">
    <i/>
  </colItems>
  <dataFields count="1">
    <dataField name="Sum of Profit"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17:B19" firstHeaderRow="1" firstDataRow="1" firstDataCol="1"/>
  <pivotFields count="14">
    <pivotField showAll="0"/>
    <pivotField axis="axisRow" numFmtId="14" showAll="0">
      <items count="15">
        <item h="1" x="0"/>
        <item h="1" x="1"/>
        <item x="2"/>
        <item h="1" x="3"/>
        <item h="1" x="4"/>
        <item h="1" x="5"/>
        <item h="1" x="6"/>
        <item h="1" x="7"/>
        <item h="1" x="8"/>
        <item h="1" x="9"/>
        <item h="1" x="10"/>
        <item h="1" x="11"/>
        <item h="1" x="12"/>
        <item h="1" x="13"/>
        <item t="default"/>
      </items>
    </pivotField>
    <pivotField showAll="0">
      <items count="10">
        <item x="0"/>
        <item x="1"/>
        <item x="2"/>
        <item x="3"/>
        <item x="4"/>
        <item x="5"/>
        <item x="6"/>
        <item x="7"/>
        <item x="8"/>
        <item t="default"/>
      </items>
    </pivotField>
    <pivotField showAll="0"/>
    <pivotField showAll="0"/>
    <pivotField showAll="0"/>
    <pivotField showAll="0"/>
    <pivotField showAll="0"/>
    <pivotField showAll="0"/>
    <pivotField dataField="1" showAll="0"/>
    <pivotField showAll="0"/>
    <pivotField showAll="0">
      <items count="5">
        <item x="0"/>
        <item x="2"/>
        <item x="1"/>
        <item x="3"/>
        <item t="default"/>
      </items>
    </pivotField>
    <pivotField showAll="0"/>
    <pivotField showAll="0"/>
  </pivotFields>
  <rowFields count="1">
    <field x="1"/>
  </rowFields>
  <rowItems count="2">
    <i>
      <x v="2"/>
    </i>
    <i t="grand">
      <x/>
    </i>
  </rowItems>
  <colItems count="1">
    <i/>
  </colItems>
  <dataFields count="1">
    <dataField name="Sum of Total Sales" fld="9" baseField="0" baseItem="0"/>
  </dataFields>
  <chartFormats count="4">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6" firstHeaderRow="1" firstDataRow="1" firstDataCol="1"/>
  <pivotFields count="14">
    <pivotField showAll="0"/>
    <pivotField numFmtId="14" showAll="0">
      <items count="15">
        <item h="1" x="0"/>
        <item h="1" x="1"/>
        <item x="2"/>
        <item h="1" x="3"/>
        <item h="1" x="4"/>
        <item h="1" x="5"/>
        <item h="1" x="6"/>
        <item h="1" x="7"/>
        <item h="1" x="8"/>
        <item h="1" x="9"/>
        <item h="1" x="10"/>
        <item h="1" x="11"/>
        <item h="1" x="12"/>
        <item h="1" x="13"/>
        <item t="default"/>
      </items>
    </pivotField>
    <pivotField axis="axisRow" showAll="0">
      <items count="10">
        <item x="0"/>
        <item x="1"/>
        <item x="2"/>
        <item x="3"/>
        <item x="4"/>
        <item x="5"/>
        <item x="6"/>
        <item x="7"/>
        <item x="8"/>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2"/>
  </rowFields>
  <rowItems count="3">
    <i>
      <x v="2"/>
    </i>
    <i>
      <x v="8"/>
    </i>
    <i t="grand">
      <x/>
    </i>
  </rowItems>
  <colItems count="1">
    <i/>
  </colItems>
  <dataFields count="1">
    <dataField name="Sum of Total Sale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Date1" sourceName="Order Date">
  <pivotTables>
    <pivotTable tabId="2" name="PivotTable6"/>
    <pivotTable tabId="2" name="PivotTable3"/>
    <pivotTable tabId="2" name="PivotTable4"/>
    <pivotTable tabId="2" name="PivotTable5"/>
    <pivotTable tabId="2" name="PivotTable7"/>
  </pivotTables>
  <data>
    <tabular pivotCacheId="3" showMissing="0" crossFilter="none">
      <items count="14">
        <i x="1"/>
        <i x="2" s="1"/>
        <i x="3"/>
        <i x="4"/>
        <i x="5"/>
        <i x="6"/>
        <i x="7"/>
        <i x="8"/>
        <i x="9"/>
        <i x="10"/>
        <i x="11"/>
        <i x="12"/>
        <i x="0"/>
        <i x="1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Date 1" cache="Slicer_Order_Date1" caption="Order Date" columnCoun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P41"/>
  <sheetViews>
    <sheetView workbookViewId="0">
      <selection activeCell="B27" sqref="B27"/>
    </sheetView>
  </sheetViews>
  <sheetFormatPr defaultRowHeight="14.4" x14ac:dyDescent="0.3"/>
  <cols>
    <col min="3" max="3" width="9.33203125" bestFit="1" customWidth="1"/>
    <col min="4" max="4" width="10.33203125" bestFit="1" customWidth="1"/>
    <col min="5" max="5" width="14.6640625" bestFit="1" customWidth="1"/>
    <col min="6" max="6" width="6.77734375" bestFit="1" customWidth="1"/>
    <col min="7" max="7" width="13.109375" bestFit="1" customWidth="1"/>
    <col min="8" max="8" width="12.44140625" bestFit="1" customWidth="1"/>
    <col min="9" max="9" width="8.33203125" bestFit="1" customWidth="1"/>
    <col min="10" max="10" width="9.109375" bestFit="1" customWidth="1"/>
    <col min="11" max="11" width="8.33203125" bestFit="1" customWidth="1"/>
    <col min="12" max="12" width="9.88671875" bestFit="1" customWidth="1"/>
    <col min="13" max="13" width="8" bestFit="1" customWidth="1"/>
    <col min="14" max="14" width="14.109375" bestFit="1" customWidth="1"/>
    <col min="15" max="15" width="8.33203125" bestFit="1" customWidth="1"/>
    <col min="16" max="16" width="12" bestFit="1" customWidth="1"/>
  </cols>
  <sheetData>
    <row r="1" spans="3:16" x14ac:dyDescent="0.3">
      <c r="C1" s="1" t="s">
        <v>0</v>
      </c>
      <c r="D1" s="1"/>
      <c r="E1" s="1"/>
      <c r="F1" s="1"/>
      <c r="G1" s="1"/>
      <c r="H1" s="1"/>
      <c r="I1" s="1"/>
      <c r="J1" s="1"/>
      <c r="K1" s="1"/>
      <c r="L1" s="1"/>
      <c r="M1" s="1"/>
      <c r="N1" s="1"/>
      <c r="O1" s="1"/>
      <c r="P1" s="1"/>
    </row>
    <row r="2" spans="3:16" x14ac:dyDescent="0.3">
      <c r="C2" s="2"/>
      <c r="D2" s="2"/>
      <c r="E2" s="2"/>
      <c r="F2" s="2"/>
      <c r="G2" s="2"/>
      <c r="H2" s="2"/>
      <c r="I2" s="2"/>
      <c r="J2" s="2"/>
      <c r="K2" s="2"/>
      <c r="L2" s="2"/>
      <c r="M2" s="2"/>
      <c r="N2" s="2"/>
      <c r="O2" s="2"/>
      <c r="P2" s="2"/>
    </row>
    <row r="4" spans="3:16" x14ac:dyDescent="0.3">
      <c r="C4" s="3" t="s">
        <v>1</v>
      </c>
      <c r="D4" s="3" t="s">
        <v>2</v>
      </c>
      <c r="E4" s="3" t="s">
        <v>3</v>
      </c>
      <c r="F4" s="3" t="s">
        <v>4</v>
      </c>
      <c r="G4" s="3" t="s">
        <v>5</v>
      </c>
      <c r="H4" s="3" t="s">
        <v>6</v>
      </c>
      <c r="I4" s="3" t="s">
        <v>7</v>
      </c>
      <c r="J4" s="3" t="s">
        <v>8</v>
      </c>
      <c r="K4" s="3" t="s">
        <v>9</v>
      </c>
      <c r="L4" s="3" t="s">
        <v>10</v>
      </c>
      <c r="M4" s="3" t="s">
        <v>11</v>
      </c>
      <c r="N4" s="3" t="s">
        <v>12</v>
      </c>
      <c r="O4" s="3" t="s">
        <v>9</v>
      </c>
      <c r="P4" s="3" t="s">
        <v>13</v>
      </c>
    </row>
    <row r="5" spans="3:16" x14ac:dyDescent="0.3">
      <c r="C5" s="4" t="s">
        <v>14</v>
      </c>
      <c r="D5" s="5">
        <v>45026</v>
      </c>
      <c r="E5" s="4" t="s">
        <v>15</v>
      </c>
      <c r="F5" s="4" t="s">
        <v>16</v>
      </c>
      <c r="G5" s="4" t="s">
        <v>17</v>
      </c>
      <c r="H5" s="4" t="s">
        <v>18</v>
      </c>
      <c r="I5" s="4">
        <v>7</v>
      </c>
      <c r="J5" s="4">
        <v>1377.06</v>
      </c>
      <c r="K5" s="4">
        <v>0.1</v>
      </c>
      <c r="L5" s="4">
        <v>8675.4599999999991</v>
      </c>
      <c r="M5" s="4">
        <v>1235.5</v>
      </c>
      <c r="N5" s="4" t="s">
        <v>19</v>
      </c>
      <c r="O5" s="4">
        <v>0</v>
      </c>
      <c r="P5" s="6">
        <v>113</v>
      </c>
    </row>
    <row r="6" spans="3:16" x14ac:dyDescent="0.3">
      <c r="C6" s="4" t="s">
        <v>20</v>
      </c>
      <c r="D6" s="5">
        <v>45141</v>
      </c>
      <c r="E6" s="4" t="s">
        <v>15</v>
      </c>
      <c r="F6" s="4" t="s">
        <v>21</v>
      </c>
      <c r="G6" s="4" t="s">
        <v>17</v>
      </c>
      <c r="H6" s="4" t="s">
        <v>22</v>
      </c>
      <c r="I6" s="4">
        <v>6</v>
      </c>
      <c r="J6" s="4">
        <v>515.65</v>
      </c>
      <c r="K6" s="4">
        <v>0</v>
      </c>
      <c r="L6" s="4">
        <v>3093.91</v>
      </c>
      <c r="M6" s="4">
        <v>467.05</v>
      </c>
      <c r="N6" s="4" t="s">
        <v>23</v>
      </c>
      <c r="O6" s="4">
        <v>0</v>
      </c>
      <c r="P6" s="6">
        <v>567</v>
      </c>
    </row>
    <row r="7" spans="3:16" x14ac:dyDescent="0.3">
      <c r="C7" s="4" t="s">
        <v>24</v>
      </c>
      <c r="D7" s="5">
        <v>45257</v>
      </c>
      <c r="E7" s="4" t="s">
        <v>15</v>
      </c>
      <c r="F7" s="4" t="s">
        <v>16</v>
      </c>
      <c r="G7" s="4" t="s">
        <v>17</v>
      </c>
      <c r="H7" s="4" t="s">
        <v>22</v>
      </c>
      <c r="I7" s="4">
        <v>2</v>
      </c>
      <c r="J7" s="4">
        <v>1453.31</v>
      </c>
      <c r="K7" s="4">
        <v>0.2</v>
      </c>
      <c r="L7" s="4">
        <v>2325.3000000000002</v>
      </c>
      <c r="M7" s="4">
        <v>281.85000000000002</v>
      </c>
      <c r="N7" s="4" t="s">
        <v>25</v>
      </c>
      <c r="O7" s="4">
        <v>0</v>
      </c>
      <c r="P7" s="6">
        <v>890</v>
      </c>
    </row>
    <row r="8" spans="3:16" x14ac:dyDescent="0.3">
      <c r="C8" s="4" t="s">
        <v>26</v>
      </c>
      <c r="D8" s="5">
        <v>44998</v>
      </c>
      <c r="E8" s="4" t="s">
        <v>27</v>
      </c>
      <c r="F8" s="4" t="s">
        <v>16</v>
      </c>
      <c r="G8" s="4" t="s">
        <v>28</v>
      </c>
      <c r="H8" s="4" t="s">
        <v>29</v>
      </c>
      <c r="I8" s="4">
        <v>7</v>
      </c>
      <c r="J8" s="4">
        <v>1003.2</v>
      </c>
      <c r="K8" s="4">
        <v>0.2</v>
      </c>
      <c r="L8" s="4">
        <v>5617.94</v>
      </c>
      <c r="M8" s="4">
        <v>995.18</v>
      </c>
      <c r="N8" s="4" t="s">
        <v>30</v>
      </c>
      <c r="O8" s="4">
        <v>0</v>
      </c>
      <c r="P8" s="6">
        <v>1300.3333333333301</v>
      </c>
    </row>
    <row r="9" spans="3:16" x14ac:dyDescent="0.3">
      <c r="C9" s="4" t="s">
        <v>31</v>
      </c>
      <c r="D9" s="5">
        <v>44948</v>
      </c>
      <c r="E9" s="4" t="s">
        <v>27</v>
      </c>
      <c r="F9" s="4" t="s">
        <v>32</v>
      </c>
      <c r="G9" s="4" t="s">
        <v>17</v>
      </c>
      <c r="H9" s="4" t="s">
        <v>33</v>
      </c>
      <c r="I9" s="4">
        <v>3</v>
      </c>
      <c r="J9" s="4">
        <v>1962.63</v>
      </c>
      <c r="K9" s="4">
        <v>0.15</v>
      </c>
      <c r="L9" s="4">
        <v>5004.71</v>
      </c>
      <c r="M9" s="4">
        <v>618.64</v>
      </c>
      <c r="N9" s="4" t="s">
        <v>30</v>
      </c>
      <c r="O9" s="4">
        <v>0</v>
      </c>
      <c r="P9" s="6">
        <v>1688.8333333333301</v>
      </c>
    </row>
    <row r="10" spans="3:16" x14ac:dyDescent="0.3">
      <c r="C10" s="4" t="s">
        <v>34</v>
      </c>
      <c r="D10" s="5">
        <v>45197</v>
      </c>
      <c r="E10" s="4" t="s">
        <v>27</v>
      </c>
      <c r="F10" s="4" t="s">
        <v>16</v>
      </c>
      <c r="G10" s="4" t="s">
        <v>28</v>
      </c>
      <c r="H10" s="4" t="s">
        <v>29</v>
      </c>
      <c r="I10" s="4">
        <v>8</v>
      </c>
      <c r="J10" s="4">
        <v>621.97</v>
      </c>
      <c r="K10" s="4">
        <v>0.1</v>
      </c>
      <c r="L10" s="4">
        <v>4478.1899999999996</v>
      </c>
      <c r="M10" s="4">
        <v>752.58</v>
      </c>
      <c r="N10" s="4" t="s">
        <v>19</v>
      </c>
      <c r="O10" s="4">
        <v>0</v>
      </c>
      <c r="P10" s="6">
        <v>2077.3333333333298</v>
      </c>
    </row>
    <row r="11" spans="3:16" x14ac:dyDescent="0.3">
      <c r="C11" s="4" t="s">
        <v>35</v>
      </c>
      <c r="D11" s="5">
        <v>45029</v>
      </c>
      <c r="E11" s="4" t="s">
        <v>27</v>
      </c>
      <c r="F11" s="4" t="s">
        <v>21</v>
      </c>
      <c r="G11" s="4" t="s">
        <v>36</v>
      </c>
      <c r="H11" s="4" t="s">
        <v>37</v>
      </c>
      <c r="I11" s="4">
        <v>3</v>
      </c>
      <c r="J11" s="4">
        <v>1443.03</v>
      </c>
      <c r="K11" s="4">
        <v>0.1</v>
      </c>
      <c r="L11" s="4">
        <v>3896.18</v>
      </c>
      <c r="M11" s="4">
        <v>964.48</v>
      </c>
      <c r="N11" s="4" t="s">
        <v>30</v>
      </c>
      <c r="O11" s="4">
        <v>0</v>
      </c>
      <c r="P11" s="6">
        <v>2465.8333333333298</v>
      </c>
    </row>
    <row r="12" spans="3:16" x14ac:dyDescent="0.3">
      <c r="C12" s="4" t="s">
        <v>38</v>
      </c>
      <c r="D12" s="5">
        <v>45220</v>
      </c>
      <c r="E12" s="4" t="s">
        <v>27</v>
      </c>
      <c r="F12" s="4" t="s">
        <v>32</v>
      </c>
      <c r="G12" s="4" t="s">
        <v>36</v>
      </c>
      <c r="H12" s="4" t="s">
        <v>39</v>
      </c>
      <c r="I12" s="4">
        <v>9</v>
      </c>
      <c r="J12" s="4">
        <v>434.26</v>
      </c>
      <c r="K12" s="4">
        <v>0.15</v>
      </c>
      <c r="L12" s="4">
        <v>3322.07</v>
      </c>
      <c r="M12" s="4">
        <v>363.14</v>
      </c>
      <c r="N12" s="4" t="s">
        <v>23</v>
      </c>
      <c r="O12" s="4">
        <v>0</v>
      </c>
      <c r="P12" s="6">
        <v>2854.3333333333298</v>
      </c>
    </row>
    <row r="13" spans="3:16" x14ac:dyDescent="0.3">
      <c r="C13" s="4" t="s">
        <v>40</v>
      </c>
      <c r="D13" s="5">
        <v>45048</v>
      </c>
      <c r="E13" s="4" t="s">
        <v>27</v>
      </c>
      <c r="F13" s="4" t="s">
        <v>41</v>
      </c>
      <c r="G13" s="4" t="s">
        <v>28</v>
      </c>
      <c r="H13" s="4" t="s">
        <v>29</v>
      </c>
      <c r="I13" s="4">
        <v>7</v>
      </c>
      <c r="J13" s="4">
        <v>412.85</v>
      </c>
      <c r="K13" s="4">
        <v>0.1</v>
      </c>
      <c r="L13" s="4">
        <v>2600.9299999999998</v>
      </c>
      <c r="M13" s="4">
        <v>401.46</v>
      </c>
      <c r="N13" s="4" t="s">
        <v>30</v>
      </c>
      <c r="O13" s="4">
        <v>0</v>
      </c>
      <c r="P13" s="6">
        <v>3242.8333333333298</v>
      </c>
    </row>
    <row r="14" spans="3:16" x14ac:dyDescent="0.3">
      <c r="C14" s="4" t="s">
        <v>42</v>
      </c>
      <c r="D14" s="5">
        <v>45114</v>
      </c>
      <c r="E14" s="4" t="s">
        <v>27</v>
      </c>
      <c r="F14" s="4" t="s">
        <v>16</v>
      </c>
      <c r="G14" s="4" t="s">
        <v>36</v>
      </c>
      <c r="H14" s="4" t="s">
        <v>39</v>
      </c>
      <c r="I14" s="4">
        <v>1</v>
      </c>
      <c r="J14" s="4">
        <v>1672.95</v>
      </c>
      <c r="K14" s="4">
        <v>0.15</v>
      </c>
      <c r="L14" s="4">
        <v>1422.01</v>
      </c>
      <c r="M14" s="4">
        <v>147.83000000000001</v>
      </c>
      <c r="N14" s="4" t="s">
        <v>23</v>
      </c>
      <c r="O14" s="4">
        <v>142.20099999999999</v>
      </c>
      <c r="P14" s="6">
        <v>3631.3333333333298</v>
      </c>
    </row>
    <row r="15" spans="3:16" x14ac:dyDescent="0.3">
      <c r="C15" s="4" t="s">
        <v>43</v>
      </c>
      <c r="D15" s="5">
        <v>45184</v>
      </c>
      <c r="E15" s="4" t="s">
        <v>44</v>
      </c>
      <c r="F15" s="4" t="s">
        <v>32</v>
      </c>
      <c r="G15" s="4" t="s">
        <v>36</v>
      </c>
      <c r="H15" s="4" t="s">
        <v>45</v>
      </c>
      <c r="I15" s="4">
        <v>8</v>
      </c>
      <c r="J15" s="4">
        <v>1786.76</v>
      </c>
      <c r="K15" s="4">
        <v>0.15</v>
      </c>
      <c r="L15" s="4">
        <v>12149.99</v>
      </c>
      <c r="M15" s="4">
        <v>863.07</v>
      </c>
      <c r="N15" s="4" t="s">
        <v>19</v>
      </c>
      <c r="O15" s="4">
        <v>0</v>
      </c>
      <c r="P15" s="6">
        <v>4019.8333333333298</v>
      </c>
    </row>
    <row r="16" spans="3:16" x14ac:dyDescent="0.3">
      <c r="C16" s="4" t="s">
        <v>46</v>
      </c>
      <c r="D16" s="5">
        <v>45240</v>
      </c>
      <c r="E16" s="4" t="s">
        <v>44</v>
      </c>
      <c r="F16" s="4" t="s">
        <v>41</v>
      </c>
      <c r="G16" s="4" t="s">
        <v>28</v>
      </c>
      <c r="H16" s="4" t="s">
        <v>47</v>
      </c>
      <c r="I16" s="4">
        <v>5</v>
      </c>
      <c r="J16" s="4">
        <v>1778.64</v>
      </c>
      <c r="K16" s="4">
        <v>0.15</v>
      </c>
      <c r="L16" s="4">
        <v>7559.21</v>
      </c>
      <c r="M16" s="4">
        <v>407.17</v>
      </c>
      <c r="N16" s="4" t="s">
        <v>25</v>
      </c>
      <c r="O16" s="4">
        <v>0</v>
      </c>
      <c r="P16" s="6">
        <v>4408.3333333333303</v>
      </c>
    </row>
    <row r="17" spans="3:16" x14ac:dyDescent="0.3">
      <c r="C17" s="4" t="s">
        <v>48</v>
      </c>
      <c r="D17" s="5">
        <v>44975</v>
      </c>
      <c r="E17" s="4" t="s">
        <v>44</v>
      </c>
      <c r="F17" s="4" t="s">
        <v>32</v>
      </c>
      <c r="G17" s="4" t="s">
        <v>28</v>
      </c>
      <c r="H17" s="4" t="s">
        <v>47</v>
      </c>
      <c r="I17" s="4">
        <v>7</v>
      </c>
      <c r="J17" s="4">
        <v>1052.8800000000001</v>
      </c>
      <c r="K17" s="4">
        <v>0.2</v>
      </c>
      <c r="L17" s="4">
        <v>5896.13</v>
      </c>
      <c r="M17" s="4">
        <v>581.16999999999996</v>
      </c>
      <c r="N17" s="4" t="s">
        <v>19</v>
      </c>
      <c r="O17" s="4">
        <v>0</v>
      </c>
      <c r="P17" s="6">
        <v>4796.8333333333303</v>
      </c>
    </row>
    <row r="18" spans="3:16" x14ac:dyDescent="0.3">
      <c r="C18" s="4" t="s">
        <v>49</v>
      </c>
      <c r="D18" s="5">
        <v>45179</v>
      </c>
      <c r="E18" s="4" t="s">
        <v>44</v>
      </c>
      <c r="F18" s="4" t="s">
        <v>21</v>
      </c>
      <c r="G18" s="4" t="s">
        <v>28</v>
      </c>
      <c r="H18" s="4" t="s">
        <v>29</v>
      </c>
      <c r="I18" s="4">
        <v>2</v>
      </c>
      <c r="J18" s="4">
        <v>1157.92</v>
      </c>
      <c r="K18" s="4">
        <v>0.05</v>
      </c>
      <c r="L18" s="4">
        <v>2200.0500000000002</v>
      </c>
      <c r="M18" s="4">
        <v>621.52</v>
      </c>
      <c r="N18" s="4" t="s">
        <v>23</v>
      </c>
      <c r="O18" s="4">
        <v>0</v>
      </c>
      <c r="P18" s="6">
        <v>5185.3333333333303</v>
      </c>
    </row>
    <row r="19" spans="3:16" x14ac:dyDescent="0.3">
      <c r="C19" s="4" t="s">
        <v>50</v>
      </c>
      <c r="D19" s="5">
        <v>45096</v>
      </c>
      <c r="E19" s="4" t="s">
        <v>51</v>
      </c>
      <c r="F19" s="4" t="s">
        <v>16</v>
      </c>
      <c r="G19" s="4" t="s">
        <v>36</v>
      </c>
      <c r="H19" s="4" t="s">
        <v>39</v>
      </c>
      <c r="I19" s="4">
        <v>6</v>
      </c>
      <c r="J19" s="4">
        <v>1222.58</v>
      </c>
      <c r="K19" s="4">
        <v>0</v>
      </c>
      <c r="L19" s="4">
        <v>7335.5</v>
      </c>
      <c r="M19" s="4">
        <v>435.27</v>
      </c>
      <c r="N19" s="4" t="s">
        <v>19</v>
      </c>
      <c r="O19" s="4">
        <v>0</v>
      </c>
      <c r="P19" s="6">
        <v>5573.8333333333303</v>
      </c>
    </row>
    <row r="20" spans="3:16" x14ac:dyDescent="0.3">
      <c r="C20" s="4" t="s">
        <v>52</v>
      </c>
      <c r="D20" s="5">
        <v>45286</v>
      </c>
      <c r="E20" s="4" t="s">
        <v>51</v>
      </c>
      <c r="F20" s="4" t="s">
        <v>32</v>
      </c>
      <c r="G20" s="4" t="s">
        <v>28</v>
      </c>
      <c r="H20" s="4" t="s">
        <v>53</v>
      </c>
      <c r="I20" s="4">
        <v>6</v>
      </c>
      <c r="J20" s="4">
        <v>857.77</v>
      </c>
      <c r="K20" s="4">
        <v>0</v>
      </c>
      <c r="L20" s="4">
        <v>5146.6000000000004</v>
      </c>
      <c r="M20" s="4">
        <v>451.25</v>
      </c>
      <c r="N20" s="4" t="s">
        <v>25</v>
      </c>
      <c r="O20" s="4">
        <v>0</v>
      </c>
      <c r="P20" s="6">
        <v>5962.3333333333303</v>
      </c>
    </row>
    <row r="21" spans="3:16" x14ac:dyDescent="0.3">
      <c r="C21" s="4" t="s">
        <v>54</v>
      </c>
      <c r="D21" s="5">
        <v>45118</v>
      </c>
      <c r="E21" s="4" t="s">
        <v>51</v>
      </c>
      <c r="F21" s="4" t="s">
        <v>16</v>
      </c>
      <c r="G21" s="4" t="s">
        <v>36</v>
      </c>
      <c r="H21" s="4" t="s">
        <v>37</v>
      </c>
      <c r="I21" s="4">
        <v>1</v>
      </c>
      <c r="J21" s="4">
        <v>685.32</v>
      </c>
      <c r="K21" s="4">
        <v>0.15</v>
      </c>
      <c r="L21" s="4">
        <v>582.52</v>
      </c>
      <c r="M21" s="4">
        <v>103.22</v>
      </c>
      <c r="N21" s="4" t="s">
        <v>19</v>
      </c>
      <c r="O21" s="4">
        <v>0</v>
      </c>
      <c r="P21" s="6">
        <v>6350.8333333333303</v>
      </c>
    </row>
    <row r="22" spans="3:16" x14ac:dyDescent="0.3">
      <c r="C22" s="4" t="s">
        <v>55</v>
      </c>
      <c r="D22" s="5">
        <v>44947</v>
      </c>
      <c r="E22" s="4" t="s">
        <v>56</v>
      </c>
      <c r="F22" s="4" t="s">
        <v>21</v>
      </c>
      <c r="G22" s="4" t="s">
        <v>17</v>
      </c>
      <c r="H22" s="4" t="s">
        <v>33</v>
      </c>
      <c r="I22" s="4">
        <v>5</v>
      </c>
      <c r="J22" s="4">
        <v>1755.78</v>
      </c>
      <c r="K22" s="4">
        <v>0.15</v>
      </c>
      <c r="L22" s="4">
        <v>7462.04</v>
      </c>
      <c r="M22" s="4">
        <v>780.61</v>
      </c>
      <c r="N22" s="4" t="s">
        <v>19</v>
      </c>
      <c r="O22" s="4">
        <v>0</v>
      </c>
      <c r="P22" s="6">
        <v>6739.3333333333303</v>
      </c>
    </row>
    <row r="23" spans="3:16" x14ac:dyDescent="0.3">
      <c r="C23" s="4" t="s">
        <v>57</v>
      </c>
      <c r="D23" s="5">
        <v>45197</v>
      </c>
      <c r="E23" s="4" t="s">
        <v>56</v>
      </c>
      <c r="F23" s="4" t="s">
        <v>32</v>
      </c>
      <c r="G23" s="4" t="s">
        <v>17</v>
      </c>
      <c r="H23" s="4" t="s">
        <v>33</v>
      </c>
      <c r="I23" s="4">
        <v>4</v>
      </c>
      <c r="J23" s="4">
        <v>881.57</v>
      </c>
      <c r="K23" s="4">
        <v>0.1</v>
      </c>
      <c r="L23" s="4">
        <v>3173.66</v>
      </c>
      <c r="M23" s="4">
        <v>664.43</v>
      </c>
      <c r="N23" s="4" t="s">
        <v>25</v>
      </c>
      <c r="O23" s="4">
        <v>0</v>
      </c>
      <c r="P23" s="6">
        <v>7127.8333333333303</v>
      </c>
    </row>
    <row r="24" spans="3:16" x14ac:dyDescent="0.3">
      <c r="C24" s="4" t="s">
        <v>58</v>
      </c>
      <c r="D24" s="5">
        <v>45076</v>
      </c>
      <c r="E24" s="4" t="s">
        <v>56</v>
      </c>
      <c r="F24" s="4" t="s">
        <v>32</v>
      </c>
      <c r="G24" s="4" t="s">
        <v>36</v>
      </c>
      <c r="H24" s="4" t="s">
        <v>37</v>
      </c>
      <c r="I24" s="4">
        <v>3</v>
      </c>
      <c r="J24" s="4">
        <v>534.25</v>
      </c>
      <c r="K24" s="4">
        <v>0.05</v>
      </c>
      <c r="L24" s="4">
        <v>1522.6</v>
      </c>
      <c r="M24" s="4">
        <v>449.99</v>
      </c>
      <c r="N24" s="4" t="s">
        <v>25</v>
      </c>
      <c r="O24" s="4">
        <v>0</v>
      </c>
      <c r="P24" s="6">
        <v>7516.3333333333303</v>
      </c>
    </row>
    <row r="25" spans="3:16" x14ac:dyDescent="0.3">
      <c r="C25" s="4" t="s">
        <v>59</v>
      </c>
      <c r="D25" s="5">
        <v>45078</v>
      </c>
      <c r="E25" s="4" t="s">
        <v>56</v>
      </c>
      <c r="F25" s="4" t="s">
        <v>32</v>
      </c>
      <c r="G25" s="4" t="s">
        <v>36</v>
      </c>
      <c r="H25" s="4" t="s">
        <v>37</v>
      </c>
      <c r="I25" s="4">
        <v>4</v>
      </c>
      <c r="J25" s="4">
        <v>131.52000000000001</v>
      </c>
      <c r="K25" s="4">
        <v>0.1</v>
      </c>
      <c r="L25" s="4">
        <v>473.46</v>
      </c>
      <c r="M25" s="4">
        <v>119.49</v>
      </c>
      <c r="N25" s="4" t="s">
        <v>30</v>
      </c>
      <c r="O25" s="4">
        <v>0</v>
      </c>
      <c r="P25" s="6">
        <v>7904.8333333333303</v>
      </c>
    </row>
    <row r="26" spans="3:16" x14ac:dyDescent="0.3">
      <c r="C26" s="4" t="s">
        <v>60</v>
      </c>
      <c r="D26" s="5">
        <v>45087</v>
      </c>
      <c r="E26" s="4" t="s">
        <v>56</v>
      </c>
      <c r="F26" s="4" t="s">
        <v>16</v>
      </c>
      <c r="G26" s="4" t="s">
        <v>28</v>
      </c>
      <c r="H26" s="4" t="s">
        <v>29</v>
      </c>
      <c r="I26" s="4">
        <v>1</v>
      </c>
      <c r="J26" s="4">
        <v>470.96</v>
      </c>
      <c r="K26" s="4">
        <v>0.2</v>
      </c>
      <c r="L26" s="4">
        <v>376.77</v>
      </c>
      <c r="M26" s="4">
        <v>65.86</v>
      </c>
      <c r="N26" s="4" t="s">
        <v>23</v>
      </c>
      <c r="O26" s="4">
        <v>37.677</v>
      </c>
      <c r="P26" s="6">
        <v>8293.3333333333303</v>
      </c>
    </row>
    <row r="27" spans="3:16" x14ac:dyDescent="0.3">
      <c r="C27" s="4" t="s">
        <v>61</v>
      </c>
      <c r="D27" s="5">
        <v>45029</v>
      </c>
      <c r="E27" s="4" t="s">
        <v>62</v>
      </c>
      <c r="F27" s="4" t="s">
        <v>32</v>
      </c>
      <c r="G27" s="4" t="s">
        <v>36</v>
      </c>
      <c r="H27" s="4" t="s">
        <v>45</v>
      </c>
      <c r="I27" s="4">
        <v>7</v>
      </c>
      <c r="J27" s="4">
        <v>1802.57</v>
      </c>
      <c r="K27" s="4">
        <v>0</v>
      </c>
      <c r="L27" s="4">
        <v>12618.01</v>
      </c>
      <c r="M27" s="4">
        <v>1489.34</v>
      </c>
      <c r="N27" s="4" t="s">
        <v>25</v>
      </c>
      <c r="O27" s="4">
        <v>0</v>
      </c>
      <c r="P27" s="6">
        <v>8681.8333333333303</v>
      </c>
    </row>
    <row r="28" spans="3:16" x14ac:dyDescent="0.3">
      <c r="C28" s="4" t="s">
        <v>63</v>
      </c>
      <c r="D28" s="5">
        <v>45235</v>
      </c>
      <c r="E28" s="4" t="s">
        <v>62</v>
      </c>
      <c r="F28" s="4" t="s">
        <v>16</v>
      </c>
      <c r="G28" s="4" t="s">
        <v>17</v>
      </c>
      <c r="H28" s="4" t="s">
        <v>33</v>
      </c>
      <c r="I28" s="4">
        <v>5</v>
      </c>
      <c r="J28" s="4">
        <v>1810.79</v>
      </c>
      <c r="K28" s="4">
        <v>0.1</v>
      </c>
      <c r="L28" s="4">
        <v>8148.57</v>
      </c>
      <c r="M28" s="4">
        <v>791.85</v>
      </c>
      <c r="N28" s="4" t="s">
        <v>30</v>
      </c>
      <c r="O28" s="4">
        <v>0</v>
      </c>
      <c r="P28" s="6">
        <v>9070.3333333333303</v>
      </c>
    </row>
    <row r="29" spans="3:16" x14ac:dyDescent="0.3">
      <c r="C29" s="4" t="s">
        <v>64</v>
      </c>
      <c r="D29" s="5">
        <v>45057</v>
      </c>
      <c r="E29" s="4" t="s">
        <v>62</v>
      </c>
      <c r="F29" s="4" t="s">
        <v>41</v>
      </c>
      <c r="G29" s="4" t="s">
        <v>28</v>
      </c>
      <c r="H29" s="4" t="s">
        <v>47</v>
      </c>
      <c r="I29" s="4">
        <v>8</v>
      </c>
      <c r="J29" s="4">
        <v>834.8</v>
      </c>
      <c r="K29" s="4">
        <v>0.05</v>
      </c>
      <c r="L29" s="4">
        <v>6344.46</v>
      </c>
      <c r="M29" s="4">
        <v>1645.93</v>
      </c>
      <c r="N29" s="4" t="s">
        <v>19</v>
      </c>
      <c r="O29" s="4">
        <v>0</v>
      </c>
      <c r="P29" s="6">
        <v>9458.8333333333303</v>
      </c>
    </row>
    <row r="30" spans="3:16" x14ac:dyDescent="0.3">
      <c r="C30" s="4" t="s">
        <v>65</v>
      </c>
      <c r="D30" s="5">
        <v>45101</v>
      </c>
      <c r="E30" s="4" t="s">
        <v>66</v>
      </c>
      <c r="F30" s="4" t="s">
        <v>21</v>
      </c>
      <c r="G30" s="4" t="s">
        <v>17</v>
      </c>
      <c r="H30" s="4" t="s">
        <v>33</v>
      </c>
      <c r="I30" s="4">
        <v>7</v>
      </c>
      <c r="J30" s="4">
        <v>913.8</v>
      </c>
      <c r="K30" s="4">
        <v>0.15</v>
      </c>
      <c r="L30" s="4">
        <v>5437.1</v>
      </c>
      <c r="M30" s="4">
        <v>827.73</v>
      </c>
      <c r="N30" s="4" t="s">
        <v>25</v>
      </c>
      <c r="O30" s="4">
        <v>0</v>
      </c>
      <c r="P30" s="6">
        <v>9847.3333333333303</v>
      </c>
    </row>
    <row r="31" spans="3:16" x14ac:dyDescent="0.3">
      <c r="C31" s="4" t="s">
        <v>67</v>
      </c>
      <c r="D31" s="5">
        <v>45033</v>
      </c>
      <c r="E31" s="4" t="s">
        <v>66</v>
      </c>
      <c r="F31" s="4" t="s">
        <v>21</v>
      </c>
      <c r="G31" s="4" t="s">
        <v>36</v>
      </c>
      <c r="H31" s="4" t="s">
        <v>39</v>
      </c>
      <c r="I31" s="4">
        <v>5</v>
      </c>
      <c r="J31" s="4">
        <v>1166.43</v>
      </c>
      <c r="K31" s="4">
        <v>0.1</v>
      </c>
      <c r="L31" s="4">
        <v>5248.92</v>
      </c>
      <c r="M31" s="4">
        <v>948.39</v>
      </c>
      <c r="N31" s="4" t="s">
        <v>23</v>
      </c>
      <c r="O31" s="4">
        <v>0</v>
      </c>
      <c r="P31" s="6">
        <v>10235.833333333299</v>
      </c>
    </row>
    <row r="32" spans="3:16" x14ac:dyDescent="0.3">
      <c r="C32" s="4" t="s">
        <v>68</v>
      </c>
      <c r="D32" s="5">
        <v>45271</v>
      </c>
      <c r="E32" s="4" t="s">
        <v>66</v>
      </c>
      <c r="F32" s="4" t="s">
        <v>16</v>
      </c>
      <c r="G32" s="4" t="s">
        <v>28</v>
      </c>
      <c r="H32" s="4" t="s">
        <v>47</v>
      </c>
      <c r="I32" s="4">
        <v>6</v>
      </c>
      <c r="J32" s="4">
        <v>783.03</v>
      </c>
      <c r="K32" s="4">
        <v>0.2</v>
      </c>
      <c r="L32" s="4">
        <v>3758.56</v>
      </c>
      <c r="M32" s="4">
        <v>466.54</v>
      </c>
      <c r="N32" s="4" t="s">
        <v>19</v>
      </c>
      <c r="O32" s="4">
        <v>0</v>
      </c>
      <c r="P32" s="6">
        <v>10624.333333333299</v>
      </c>
    </row>
    <row r="33" spans="3:16" x14ac:dyDescent="0.3">
      <c r="C33" s="4" t="s">
        <v>69</v>
      </c>
      <c r="D33" s="5">
        <v>45162</v>
      </c>
      <c r="E33" s="4" t="s">
        <v>66</v>
      </c>
      <c r="F33" s="4" t="s">
        <v>41</v>
      </c>
      <c r="G33" s="4" t="s">
        <v>36</v>
      </c>
      <c r="H33" s="4" t="s">
        <v>45</v>
      </c>
      <c r="I33" s="4">
        <v>7</v>
      </c>
      <c r="J33" s="4">
        <v>366.16</v>
      </c>
      <c r="K33" s="4">
        <v>0.1</v>
      </c>
      <c r="L33" s="4">
        <v>2306.81</v>
      </c>
      <c r="M33" s="4">
        <v>285.63</v>
      </c>
      <c r="N33" s="4" t="s">
        <v>23</v>
      </c>
      <c r="O33" s="4">
        <v>0</v>
      </c>
      <c r="P33" s="6">
        <v>11012.833333333299</v>
      </c>
    </row>
    <row r="34" spans="3:16" x14ac:dyDescent="0.3">
      <c r="C34" s="4" t="s">
        <v>70</v>
      </c>
      <c r="D34" s="5">
        <v>45203</v>
      </c>
      <c r="E34" s="4" t="s">
        <v>71</v>
      </c>
      <c r="F34" s="4" t="s">
        <v>41</v>
      </c>
      <c r="G34" s="4" t="s">
        <v>17</v>
      </c>
      <c r="H34" s="4" t="s">
        <v>18</v>
      </c>
      <c r="I34" s="4">
        <v>6</v>
      </c>
      <c r="J34" s="4">
        <v>1959.9</v>
      </c>
      <c r="K34" s="4">
        <v>0.1</v>
      </c>
      <c r="L34" s="4">
        <v>10583.44</v>
      </c>
      <c r="M34" s="4">
        <v>2889.4</v>
      </c>
      <c r="N34" s="4" t="s">
        <v>19</v>
      </c>
      <c r="O34" s="4">
        <v>0</v>
      </c>
      <c r="P34" s="6">
        <v>11401.333333333299</v>
      </c>
    </row>
    <row r="35" spans="3:16" x14ac:dyDescent="0.3">
      <c r="C35" s="4" t="s">
        <v>72</v>
      </c>
      <c r="D35" s="5">
        <v>45270</v>
      </c>
      <c r="E35" s="4" t="s">
        <v>71</v>
      </c>
      <c r="F35" s="4" t="s">
        <v>21</v>
      </c>
      <c r="G35" s="4" t="s">
        <v>17</v>
      </c>
      <c r="H35" s="4" t="s">
        <v>22</v>
      </c>
      <c r="I35" s="4">
        <v>9</v>
      </c>
      <c r="J35" s="4">
        <v>1360.65</v>
      </c>
      <c r="K35" s="4">
        <v>0.2</v>
      </c>
      <c r="L35" s="4">
        <v>9796.7000000000007</v>
      </c>
      <c r="M35" s="4">
        <v>1185.21</v>
      </c>
      <c r="N35" s="4" t="s">
        <v>19</v>
      </c>
      <c r="O35" s="4">
        <v>0</v>
      </c>
      <c r="P35" s="6">
        <v>11789.833333333299</v>
      </c>
    </row>
    <row r="36" spans="3:16" x14ac:dyDescent="0.3">
      <c r="C36" s="4" t="s">
        <v>73</v>
      </c>
      <c r="D36" s="5">
        <v>45115</v>
      </c>
      <c r="E36" s="4" t="s">
        <v>71</v>
      </c>
      <c r="F36" s="4" t="s">
        <v>21</v>
      </c>
      <c r="G36" s="4" t="s">
        <v>28</v>
      </c>
      <c r="H36" s="4" t="s">
        <v>29</v>
      </c>
      <c r="I36" s="4">
        <v>4</v>
      </c>
      <c r="J36" s="4">
        <v>1891.42</v>
      </c>
      <c r="K36" s="4">
        <v>0.1</v>
      </c>
      <c r="L36" s="4">
        <v>6809.12</v>
      </c>
      <c r="M36" s="4">
        <v>1523.17</v>
      </c>
      <c r="N36" s="4" t="s">
        <v>25</v>
      </c>
      <c r="O36" s="4">
        <v>0</v>
      </c>
      <c r="P36" s="6">
        <v>12178.333333333299</v>
      </c>
    </row>
    <row r="37" spans="3:16" x14ac:dyDescent="0.3">
      <c r="C37" s="7" t="s">
        <v>74</v>
      </c>
      <c r="D37" s="8">
        <v>45014</v>
      </c>
      <c r="E37" s="7" t="s">
        <v>71</v>
      </c>
      <c r="F37" s="7" t="s">
        <v>41</v>
      </c>
      <c r="G37" s="7" t="s">
        <v>17</v>
      </c>
      <c r="H37" s="7" t="s">
        <v>18</v>
      </c>
      <c r="I37" s="7">
        <v>6</v>
      </c>
      <c r="J37" s="7">
        <v>162.80000000000001</v>
      </c>
      <c r="K37" s="7">
        <v>0</v>
      </c>
      <c r="L37" s="7">
        <v>976.78</v>
      </c>
      <c r="M37" s="7">
        <v>203.74</v>
      </c>
      <c r="N37" s="7" t="s">
        <v>23</v>
      </c>
      <c r="O37" s="7">
        <v>0</v>
      </c>
      <c r="P37" s="6">
        <v>12566.833333333299</v>
      </c>
    </row>
    <row r="38" spans="3:16" x14ac:dyDescent="0.3">
      <c r="C38" s="4" t="s">
        <v>75</v>
      </c>
      <c r="D38" s="5">
        <v>45275</v>
      </c>
      <c r="E38" s="4" t="s">
        <v>76</v>
      </c>
      <c r="F38" s="4" t="s">
        <v>16</v>
      </c>
      <c r="G38" s="4" t="s">
        <v>17</v>
      </c>
      <c r="H38" s="4" t="s">
        <v>33</v>
      </c>
      <c r="I38" s="4">
        <v>7</v>
      </c>
      <c r="J38" s="4">
        <v>1715.07</v>
      </c>
      <c r="K38" s="4">
        <v>0.15</v>
      </c>
      <c r="L38" s="4">
        <v>10204.69</v>
      </c>
      <c r="M38" s="4">
        <v>1354.41</v>
      </c>
      <c r="N38" s="4" t="s">
        <v>19</v>
      </c>
      <c r="O38" s="4">
        <v>0</v>
      </c>
      <c r="P38" s="6">
        <v>12955.333333333299</v>
      </c>
    </row>
    <row r="39" spans="3:16" x14ac:dyDescent="0.3">
      <c r="C39" s="4" t="s">
        <v>77</v>
      </c>
      <c r="D39" s="5">
        <v>44977</v>
      </c>
      <c r="E39" s="4" t="s">
        <v>76</v>
      </c>
      <c r="F39" s="4" t="s">
        <v>32</v>
      </c>
      <c r="G39" s="4" t="s">
        <v>36</v>
      </c>
      <c r="H39" s="4" t="s">
        <v>45</v>
      </c>
      <c r="I39" s="4">
        <v>6</v>
      </c>
      <c r="J39" s="4">
        <v>1457.73</v>
      </c>
      <c r="K39" s="4">
        <v>0.2</v>
      </c>
      <c r="L39" s="4">
        <v>6997.11</v>
      </c>
      <c r="M39" s="4">
        <v>839.54</v>
      </c>
      <c r="N39" s="4" t="s">
        <v>30</v>
      </c>
      <c r="O39" s="4">
        <v>0</v>
      </c>
      <c r="P39" s="6">
        <v>13343.833333333299</v>
      </c>
    </row>
    <row r="40" spans="3:16" x14ac:dyDescent="0.3">
      <c r="C40" s="4" t="s">
        <v>78</v>
      </c>
      <c r="D40" s="5">
        <v>45116</v>
      </c>
      <c r="E40" s="4" t="s">
        <v>76</v>
      </c>
      <c r="F40" s="4" t="s">
        <v>21</v>
      </c>
      <c r="G40" s="4" t="s">
        <v>17</v>
      </c>
      <c r="H40" s="4" t="s">
        <v>18</v>
      </c>
      <c r="I40" s="4">
        <v>3</v>
      </c>
      <c r="J40" s="4">
        <v>1610.85</v>
      </c>
      <c r="K40" s="4">
        <v>0.1</v>
      </c>
      <c r="L40" s="4">
        <v>4349.3100000000004</v>
      </c>
      <c r="M40" s="4">
        <v>694.77</v>
      </c>
      <c r="N40" s="4" t="s">
        <v>25</v>
      </c>
      <c r="O40" s="4">
        <v>0</v>
      </c>
      <c r="P40" s="6">
        <v>13732.333333333299</v>
      </c>
    </row>
    <row r="41" spans="3:16" x14ac:dyDescent="0.3">
      <c r="C41" s="4" t="s">
        <v>79</v>
      </c>
      <c r="D41" s="5">
        <v>44985</v>
      </c>
      <c r="E41" s="4" t="s">
        <v>76</v>
      </c>
      <c r="F41" s="4" t="s">
        <v>16</v>
      </c>
      <c r="G41" s="4" t="s">
        <v>17</v>
      </c>
      <c r="H41" s="4" t="s">
        <v>22</v>
      </c>
      <c r="I41" s="4">
        <v>7</v>
      </c>
      <c r="J41" s="4">
        <v>152.47</v>
      </c>
      <c r="K41" s="4">
        <v>0.05</v>
      </c>
      <c r="L41" s="4">
        <v>1013.94</v>
      </c>
      <c r="M41" s="4">
        <v>74.52</v>
      </c>
      <c r="N41" s="4" t="s">
        <v>19</v>
      </c>
      <c r="O41" s="4">
        <v>0</v>
      </c>
      <c r="P41" s="6">
        <v>14120.833333333299</v>
      </c>
    </row>
  </sheetData>
  <mergeCells count="1">
    <mergeCell ref="C1:P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9"/>
  <sheetViews>
    <sheetView workbookViewId="0">
      <selection activeCell="H10" sqref="H10"/>
    </sheetView>
  </sheetViews>
  <sheetFormatPr defaultRowHeight="14.4" x14ac:dyDescent="0.3"/>
  <cols>
    <col min="1" max="1" width="12.5546875" customWidth="1"/>
    <col min="2" max="2" width="16.44140625" customWidth="1"/>
    <col min="3" max="3" width="16.44140625" bestFit="1" customWidth="1"/>
    <col min="4" max="4" width="12.5546875" customWidth="1"/>
    <col min="5" max="5" width="16.44140625" customWidth="1"/>
    <col min="7" max="7" width="12.5546875" customWidth="1"/>
    <col min="8" max="8" width="16.44140625" customWidth="1"/>
    <col min="10" max="10" width="15.5546875" customWidth="1"/>
    <col min="11" max="11" width="12.109375" customWidth="1"/>
    <col min="12" max="12" width="12.109375" bestFit="1" customWidth="1"/>
  </cols>
  <sheetData>
    <row r="3" spans="1:11" x14ac:dyDescent="0.3">
      <c r="A3" s="13" t="s">
        <v>80</v>
      </c>
      <c r="B3" t="s">
        <v>81</v>
      </c>
      <c r="D3" s="13" t="s">
        <v>80</v>
      </c>
      <c r="E3" t="s">
        <v>81</v>
      </c>
      <c r="G3" s="13" t="s">
        <v>80</v>
      </c>
      <c r="H3" t="s">
        <v>81</v>
      </c>
      <c r="J3" s="13" t="s">
        <v>80</v>
      </c>
      <c r="K3" t="s">
        <v>82</v>
      </c>
    </row>
    <row r="4" spans="1:11" x14ac:dyDescent="0.3">
      <c r="A4" s="9" t="s">
        <v>44</v>
      </c>
      <c r="B4" s="10">
        <v>5896.13</v>
      </c>
      <c r="D4" s="9" t="s">
        <v>16</v>
      </c>
      <c r="E4" s="10">
        <v>1013.94</v>
      </c>
      <c r="G4" s="9" t="s">
        <v>45</v>
      </c>
      <c r="H4" s="10">
        <v>6997.11</v>
      </c>
      <c r="J4" s="9" t="s">
        <v>28</v>
      </c>
      <c r="K4" s="10">
        <v>581.16999999999996</v>
      </c>
    </row>
    <row r="5" spans="1:11" x14ac:dyDescent="0.3">
      <c r="A5" s="9" t="s">
        <v>76</v>
      </c>
      <c r="B5" s="10">
        <v>8011.0499999999993</v>
      </c>
      <c r="D5" s="9" t="s">
        <v>32</v>
      </c>
      <c r="E5" s="10">
        <v>12893.24</v>
      </c>
      <c r="G5" s="9" t="s">
        <v>47</v>
      </c>
      <c r="H5" s="10">
        <v>5896.13</v>
      </c>
      <c r="J5" s="11" t="s">
        <v>47</v>
      </c>
      <c r="K5" s="10">
        <v>581.16999999999996</v>
      </c>
    </row>
    <row r="6" spans="1:11" x14ac:dyDescent="0.3">
      <c r="A6" s="9" t="s">
        <v>83</v>
      </c>
      <c r="B6" s="10">
        <v>13907.18</v>
      </c>
      <c r="D6" s="9" t="s">
        <v>83</v>
      </c>
      <c r="E6" s="10">
        <v>13907.18</v>
      </c>
      <c r="G6" s="9" t="s">
        <v>22</v>
      </c>
      <c r="H6" s="10">
        <v>1013.94</v>
      </c>
      <c r="J6" s="9" t="s">
        <v>36</v>
      </c>
      <c r="K6" s="10">
        <v>839.54</v>
      </c>
    </row>
    <row r="7" spans="1:11" x14ac:dyDescent="0.3">
      <c r="G7" s="9" t="s">
        <v>83</v>
      </c>
      <c r="H7" s="10">
        <v>13907.18</v>
      </c>
      <c r="J7" s="11" t="s">
        <v>45</v>
      </c>
      <c r="K7" s="10">
        <v>839.54</v>
      </c>
    </row>
    <row r="8" spans="1:11" x14ac:dyDescent="0.3">
      <c r="J8" s="9" t="s">
        <v>17</v>
      </c>
      <c r="K8" s="10">
        <v>74.52</v>
      </c>
    </row>
    <row r="9" spans="1:11" x14ac:dyDescent="0.3">
      <c r="J9" s="11" t="s">
        <v>22</v>
      </c>
      <c r="K9" s="10">
        <v>74.52</v>
      </c>
    </row>
    <row r="10" spans="1:11" x14ac:dyDescent="0.3">
      <c r="J10" s="9" t="s">
        <v>83</v>
      </c>
      <c r="K10" s="10">
        <v>1495.23</v>
      </c>
    </row>
    <row r="17" spans="1:2" x14ac:dyDescent="0.3">
      <c r="A17" s="13" t="s">
        <v>80</v>
      </c>
      <c r="B17" t="s">
        <v>81</v>
      </c>
    </row>
    <row r="18" spans="1:2" x14ac:dyDescent="0.3">
      <c r="A18" s="12" t="s">
        <v>84</v>
      </c>
      <c r="B18" s="10">
        <v>13907.18</v>
      </c>
    </row>
    <row r="19" spans="1:2" x14ac:dyDescent="0.3">
      <c r="A19" s="12" t="s">
        <v>83</v>
      </c>
      <c r="B19" s="10">
        <v>13907.18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A5" workbookViewId="0">
      <selection activeCell="V26" sqref="V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DAY 9</vt:lpstr>
      <vt:lpstr>Sheet2</vt:lpstr>
      <vt:lpstr>Sheet3</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2025-12-04T17:05:38Z</dcterms:created>
  <dcterms:modified xsi:type="dcterms:W3CDTF">2025-12-04T17:11:23Z</dcterms:modified>
</cp:coreProperties>
</file>