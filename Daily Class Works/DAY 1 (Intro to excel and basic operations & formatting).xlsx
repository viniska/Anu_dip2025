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sh Mitra\Desktop\"/>
    </mc:Choice>
  </mc:AlternateContent>
  <xr:revisionPtr revIDLastSave="0" documentId="13_ncr:1_{13E4570F-11DB-40C7-BFCB-0DB9D81F62E4}" xr6:coauthVersionLast="47" xr6:coauthVersionMax="47" xr10:uidLastSave="{00000000-0000-0000-0000-000000000000}"/>
  <bookViews>
    <workbookView xWindow="-120" yWindow="-120" windowWidth="29040" windowHeight="15840" activeTab="1" xr2:uid="{12CC884B-A9B6-4885-B3A1-9C45CFB65AE2}"/>
  </bookViews>
  <sheets>
    <sheet name="Sheet1" sheetId="1" r:id="rId1"/>
    <sheet name="Sheet2" sheetId="2" r:id="rId2"/>
    <sheet name="Sheet4" sheetId="4" r:id="rId3"/>
    <sheet name="Sheet6" sheetId="6" r:id="rId4"/>
    <sheet name="Sheet5" sheetId="5" state="hidden" r:id="rId5"/>
  </sheets>
  <definedNames>
    <definedName name="_xlnm._FilterDatabase" localSheetId="0" hidden="1">Sheet1!$P$1:$P$8</definedName>
    <definedName name="rename">Sheet1!$P$1:$P$8</definedName>
    <definedName name="xyz5">Sheet1!$XEO$8</definedName>
    <definedName name="xyz8">Sheet1!$A$1</definedName>
    <definedName name="ytu5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6" l="1"/>
  <c r="H10" i="6" s="1"/>
  <c r="G11" i="6"/>
  <c r="H11" i="6" s="1"/>
  <c r="G12" i="6"/>
  <c r="H12" i="6" s="1"/>
  <c r="G9" i="6"/>
  <c r="H9" i="6" s="1"/>
  <c r="J9" i="2"/>
  <c r="J2" i="2"/>
  <c r="J7" i="2"/>
  <c r="J8" i="2"/>
  <c r="J4" i="2"/>
  <c r="J6" i="2"/>
  <c r="J5" i="2"/>
  <c r="J3" i="2"/>
  <c r="K9" i="2"/>
  <c r="K2" i="2"/>
  <c r="K7" i="2"/>
  <c r="K8" i="2"/>
  <c r="K4" i="2"/>
  <c r="K6" i="2"/>
  <c r="K5" i="2"/>
  <c r="K3" i="2"/>
  <c r="AA12" i="4"/>
  <c r="Z12" i="4"/>
  <c r="Y12" i="4"/>
  <c r="X12" i="4"/>
  <c r="W12" i="4"/>
  <c r="V12" i="4"/>
  <c r="U12" i="4"/>
  <c r="T12" i="4"/>
  <c r="S12" i="4"/>
  <c r="R12" i="4"/>
  <c r="AA11" i="4"/>
  <c r="Z11" i="4"/>
  <c r="Y11" i="4"/>
  <c r="X11" i="4"/>
  <c r="W11" i="4"/>
  <c r="V11" i="4"/>
  <c r="U11" i="4"/>
  <c r="T11" i="4"/>
  <c r="S11" i="4"/>
  <c r="R11" i="4"/>
  <c r="AA10" i="4"/>
  <c r="Z10" i="4"/>
  <c r="Y10" i="4"/>
  <c r="X10" i="4"/>
  <c r="W10" i="4"/>
  <c r="V10" i="4"/>
  <c r="U10" i="4"/>
  <c r="T10" i="4"/>
  <c r="S10" i="4"/>
  <c r="R10" i="4"/>
  <c r="AA9" i="4"/>
  <c r="Z9" i="4"/>
  <c r="Y9" i="4"/>
  <c r="X9" i="4"/>
  <c r="W9" i="4"/>
  <c r="V9" i="4"/>
  <c r="U9" i="4"/>
  <c r="T9" i="4"/>
  <c r="S9" i="4"/>
  <c r="R9" i="4"/>
  <c r="AA8" i="4"/>
  <c r="Z8" i="4"/>
  <c r="Y8" i="4"/>
  <c r="X8" i="4"/>
  <c r="W8" i="4"/>
  <c r="V8" i="4"/>
  <c r="U8" i="4"/>
  <c r="T8" i="4"/>
  <c r="S8" i="4"/>
  <c r="R8" i="4"/>
  <c r="AA7" i="4"/>
  <c r="Z7" i="4"/>
  <c r="Y7" i="4"/>
  <c r="X7" i="4"/>
  <c r="W7" i="4"/>
  <c r="V7" i="4"/>
  <c r="U7" i="4"/>
  <c r="T7" i="4"/>
  <c r="S7" i="4"/>
  <c r="R7" i="4"/>
  <c r="AA6" i="4"/>
  <c r="Z6" i="4"/>
  <c r="Y6" i="4"/>
  <c r="X6" i="4"/>
  <c r="W6" i="4"/>
  <c r="V6" i="4"/>
  <c r="U6" i="4"/>
  <c r="T6" i="4"/>
  <c r="S6" i="4"/>
  <c r="R6" i="4"/>
  <c r="AA5" i="4"/>
  <c r="Z5" i="4"/>
  <c r="Y5" i="4"/>
  <c r="X5" i="4"/>
  <c r="W5" i="4"/>
  <c r="V5" i="4"/>
  <c r="U5" i="4"/>
  <c r="T5" i="4"/>
  <c r="S5" i="4"/>
  <c r="R5" i="4"/>
  <c r="AA4" i="4"/>
  <c r="Z4" i="4"/>
  <c r="Y4" i="4"/>
  <c r="X4" i="4"/>
  <c r="W4" i="4"/>
  <c r="V4" i="4"/>
  <c r="U4" i="4"/>
  <c r="T4" i="4"/>
  <c r="S4" i="4"/>
  <c r="R4" i="4"/>
  <c r="AA3" i="4"/>
  <c r="Z3" i="4"/>
  <c r="Y3" i="4"/>
  <c r="X3" i="4"/>
  <c r="W3" i="4"/>
  <c r="V3" i="4"/>
  <c r="U3" i="4"/>
  <c r="T3" i="4"/>
  <c r="S3" i="4"/>
  <c r="R3" i="4"/>
  <c r="C5" i="4"/>
  <c r="C6" i="4"/>
  <c r="C7" i="4"/>
  <c r="C8" i="4"/>
  <c r="C9" i="4"/>
  <c r="C10" i="4"/>
  <c r="C11" i="4"/>
  <c r="C12" i="4"/>
  <c r="C13" i="4"/>
  <c r="D13" i="4"/>
  <c r="E13" i="4"/>
  <c r="F13" i="4"/>
  <c r="G13" i="4"/>
  <c r="H13" i="4"/>
  <c r="I13" i="4"/>
  <c r="J13" i="4"/>
  <c r="K13" i="4"/>
  <c r="L13" i="4"/>
  <c r="D12" i="4"/>
  <c r="E12" i="4"/>
  <c r="F12" i="4"/>
  <c r="G12" i="4"/>
  <c r="H12" i="4"/>
  <c r="I12" i="4"/>
  <c r="J12" i="4"/>
  <c r="K12" i="4"/>
  <c r="L12" i="4"/>
  <c r="D11" i="4"/>
  <c r="E11" i="4"/>
  <c r="F11" i="4"/>
  <c r="G11" i="4"/>
  <c r="H11" i="4"/>
  <c r="I11" i="4"/>
  <c r="J11" i="4"/>
  <c r="K11" i="4"/>
  <c r="L11" i="4"/>
  <c r="D10" i="4"/>
  <c r="E10" i="4"/>
  <c r="F10" i="4"/>
  <c r="G10" i="4"/>
  <c r="H10" i="4"/>
  <c r="I10" i="4"/>
  <c r="J10" i="4"/>
  <c r="K10" i="4"/>
  <c r="L10" i="4"/>
  <c r="D9" i="4"/>
  <c r="E9" i="4"/>
  <c r="F9" i="4"/>
  <c r="G9" i="4"/>
  <c r="H9" i="4"/>
  <c r="I9" i="4"/>
  <c r="J9" i="4"/>
  <c r="K9" i="4"/>
  <c r="L9" i="4"/>
  <c r="D8" i="4"/>
  <c r="E8" i="4"/>
  <c r="F8" i="4"/>
  <c r="G8" i="4"/>
  <c r="H8" i="4"/>
  <c r="I8" i="4"/>
  <c r="J8" i="4"/>
  <c r="K8" i="4"/>
  <c r="L8" i="4"/>
  <c r="D7" i="4"/>
  <c r="E7" i="4"/>
  <c r="F7" i="4"/>
  <c r="G7" i="4"/>
  <c r="H7" i="4"/>
  <c r="I7" i="4"/>
  <c r="J7" i="4"/>
  <c r="K7" i="4"/>
  <c r="L7" i="4"/>
  <c r="D6" i="4"/>
  <c r="E6" i="4"/>
  <c r="F6" i="4"/>
  <c r="G6" i="4"/>
  <c r="H6" i="4"/>
  <c r="I6" i="4"/>
  <c r="J6" i="4"/>
  <c r="K6" i="4"/>
  <c r="L6" i="4"/>
  <c r="D5" i="4"/>
  <c r="E5" i="4"/>
  <c r="F5" i="4"/>
  <c r="G5" i="4"/>
  <c r="H5" i="4"/>
  <c r="I5" i="4"/>
  <c r="J5" i="4"/>
  <c r="K5" i="4"/>
  <c r="L5" i="4"/>
  <c r="D4" i="4"/>
  <c r="E4" i="4"/>
  <c r="F4" i="4"/>
  <c r="G4" i="4"/>
  <c r="H4" i="4"/>
  <c r="I4" i="4"/>
  <c r="J4" i="4"/>
  <c r="K4" i="4"/>
  <c r="L4" i="4"/>
  <c r="C4" i="4"/>
  <c r="M9" i="2"/>
  <c r="N9" i="2" s="1"/>
  <c r="O9" i="2" s="1"/>
  <c r="M2" i="2"/>
  <c r="N2" i="2" s="1"/>
  <c r="O2" i="2" s="1"/>
  <c r="M7" i="2"/>
  <c r="N7" i="2" s="1"/>
  <c r="O7" i="2" s="1"/>
  <c r="M8" i="2"/>
  <c r="N8" i="2" s="1"/>
  <c r="O8" i="2" s="1"/>
  <c r="M4" i="2"/>
  <c r="N4" i="2" s="1"/>
  <c r="O4" i="2" s="1"/>
  <c r="M6" i="2"/>
  <c r="N6" i="2" s="1"/>
  <c r="O6" i="2" s="1"/>
  <c r="M5" i="2"/>
  <c r="N5" i="2" s="1"/>
  <c r="O5" i="2" s="1"/>
  <c r="M3" i="2"/>
  <c r="N3" i="2" s="1"/>
  <c r="O3" i="2" s="1"/>
  <c r="R8" i="1"/>
  <c r="T6" i="1" s="1"/>
  <c r="L2" i="2" l="1"/>
  <c r="L3" i="2"/>
  <c r="L8" i="2"/>
  <c r="L5" i="2"/>
  <c r="L6" i="2"/>
  <c r="L7" i="2"/>
  <c r="L9" i="2"/>
  <c r="L4" i="2"/>
</calcChain>
</file>

<file path=xl/sharedStrings.xml><?xml version="1.0" encoding="utf-8"?>
<sst xmlns="http://schemas.openxmlformats.org/spreadsheetml/2006/main" count="76" uniqueCount="55">
  <si>
    <t>vibek</t>
  </si>
  <si>
    <t>aakash</t>
  </si>
  <si>
    <t>SUN</t>
  </si>
  <si>
    <t>MON</t>
  </si>
  <si>
    <t>TUE</t>
  </si>
  <si>
    <t>WED</t>
  </si>
  <si>
    <t>THU</t>
  </si>
  <si>
    <t>FRI</t>
  </si>
  <si>
    <t>SAT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</si>
  <si>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</si>
  <si>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</si>
  <si>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</si>
  <si>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</si>
  <si>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</si>
  <si>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</si>
  <si>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</si>
  <si>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</si>
  <si>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</si>
  <si>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</si>
  <si>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</si>
  <si>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</si>
  <si>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sundai</t>
  </si>
  <si>
    <t>MY  NAME IS VIBEK</t>
  </si>
  <si>
    <t>Aakash  this side</t>
  </si>
  <si>
    <t>name</t>
  </si>
  <si>
    <t>Sub1</t>
  </si>
  <si>
    <t>Sub2</t>
  </si>
  <si>
    <t>Sub3</t>
  </si>
  <si>
    <t>Pt Class</t>
  </si>
  <si>
    <t>SUPW</t>
  </si>
  <si>
    <t>Dance class</t>
  </si>
  <si>
    <t>BREAK</t>
  </si>
  <si>
    <t>Aakash</t>
  </si>
  <si>
    <t>Vibek</t>
  </si>
  <si>
    <t>Kumar</t>
  </si>
  <si>
    <t>Aniket</t>
  </si>
  <si>
    <t>Sudeshna</t>
  </si>
  <si>
    <t>Nisha</t>
  </si>
  <si>
    <t>Nishi</t>
  </si>
  <si>
    <t>sulochana</t>
  </si>
  <si>
    <t>Total</t>
  </si>
  <si>
    <t>Percentage</t>
  </si>
  <si>
    <t>TIFFIN</t>
  </si>
  <si>
    <t>MULTIPICATION TABLE</t>
  </si>
  <si>
    <t>MULTIPICATION</t>
  </si>
  <si>
    <t>min</t>
  </si>
  <si>
    <t>max</t>
  </si>
  <si>
    <t>Status</t>
  </si>
  <si>
    <t>CUSTOMER</t>
  </si>
  <si>
    <t>DIS AMT</t>
  </si>
  <si>
    <t>PUR AMT</t>
  </si>
  <si>
    <t>sudeshna</t>
  </si>
  <si>
    <t>nisha</t>
  </si>
  <si>
    <t>TOTAL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</si>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</sst>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INR]\ #,##0.00000"/>
    <numFmt numFmtId="165" formatCode="[$-F800]dddd\,\ mmmm\ dd\,\ yyyy"/>
  </numFmts>
  <fonts count="14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40"/>
      <color theme="1"/>
      <name val="Broadway"/>
      <family val="5"/>
    </font>
    <font>
      <b/>
      <i/>
      <sz val="14"/>
      <color rgb="FF00FF00"/>
      <name val="Broadway"/>
      <family val="5"/>
    </font>
    <font>
      <b/>
      <i/>
      <sz val="14"/>
      <color rgb="FFFF0000"/>
      <name val="Broadway"/>
      <family val="5"/>
    </font>
    <font>
      <u/>
      <sz val="36"/>
      <color theme="1"/>
      <name val="Rockwell Nova Cond"/>
      <family val="1"/>
    </font>
    <font>
      <sz val="36"/>
      <color theme="1"/>
      <name val="Rockwell Nova Cond"/>
      <family val="1"/>
    </font>
    <font>
      <b/>
      <u val="double"/>
      <sz val="12"/>
      <color theme="1"/>
      <name val="Century Gothic"/>
      <family val="2"/>
    </font>
    <font>
      <sz val="14"/>
      <color theme="1"/>
      <name val="Century Gothic"/>
      <family val="2"/>
    </font>
    <font>
      <b/>
      <u val="double"/>
      <sz val="14"/>
      <color theme="1"/>
      <name val="Century Gothic"/>
      <family val="2"/>
    </font>
    <font>
      <b/>
      <sz val="14"/>
      <color rgb="FFFFFF00"/>
      <name val="Century Gothic"/>
      <family val="2"/>
    </font>
    <font>
      <sz val="14"/>
      <color rgb="FF9C57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rgb="FFFF0066"/>
      </left>
      <right style="thin">
        <color rgb="FFFF0066"/>
      </right>
      <top style="thin">
        <color rgb="FFFF0066"/>
      </top>
      <bottom style="thin">
        <color rgb="FFFF0066"/>
      </bottom>
      <diagonal/>
    </border>
    <border>
      <left style="slantDashDot">
        <color theme="4" tint="-0.24994659260841701"/>
      </left>
      <right style="slantDashDot">
        <color theme="9" tint="0.39994506668294322"/>
      </right>
      <top style="slantDashDot">
        <color theme="9" tint="0.39994506668294322"/>
      </top>
      <bottom style="slantDashDot">
        <color theme="9" tint="0.39994506668294322"/>
      </bottom>
      <diagonal/>
    </border>
    <border>
      <left style="slantDashDot">
        <color theme="9" tint="0.39994506668294322"/>
      </left>
      <right style="slantDashDot">
        <color theme="9" tint="0.39994506668294322"/>
      </right>
      <top style="slantDashDot">
        <color theme="9" tint="0.39994506668294322"/>
      </top>
      <bottom style="slantDashDot">
        <color theme="9" tint="0.39994506668294322"/>
      </bottom>
      <diagonal/>
    </border>
    <border>
      <left style="slantDashDot">
        <color theme="9" tint="0.39994506668294322"/>
      </left>
      <right style="slantDashDot">
        <color theme="4" tint="-0.24994659260841701"/>
      </right>
      <top style="slantDashDot">
        <color theme="9" tint="0.39994506668294322"/>
      </top>
      <bottom style="slantDashDot">
        <color theme="9" tint="0.39994506668294322"/>
      </bottom>
      <diagonal/>
    </border>
    <border>
      <left style="slantDashDot">
        <color theme="4" tint="-0.24994659260841701"/>
      </left>
      <right style="slantDashDot">
        <color theme="9" tint="0.39994506668294322"/>
      </right>
      <top style="slantDashDot">
        <color theme="9" tint="0.39994506668294322"/>
      </top>
      <bottom style="slantDashDot">
        <color theme="4" tint="-0.24994659260841701"/>
      </bottom>
      <diagonal/>
    </border>
    <border>
      <left style="slantDashDot">
        <color theme="9" tint="0.39994506668294322"/>
      </left>
      <right style="slantDashDot">
        <color theme="9" tint="0.39994506668294322"/>
      </right>
      <top style="slantDashDot">
        <color theme="9" tint="0.39994506668294322"/>
      </top>
      <bottom style="slantDashDot">
        <color theme="4" tint="-0.24994659260841701"/>
      </bottom>
      <diagonal/>
    </border>
    <border>
      <left style="slantDashDot">
        <color theme="9" tint="0.39994506668294322"/>
      </left>
      <right style="slantDashDot">
        <color theme="4" tint="-0.24994659260841701"/>
      </right>
      <top style="slantDashDot">
        <color theme="9" tint="0.39994506668294322"/>
      </top>
      <bottom style="slantDashDot">
        <color theme="4" tint="-0.24994659260841701"/>
      </bottom>
      <diagonal/>
    </border>
    <border>
      <left style="slantDashDot">
        <color theme="4" tint="-0.24994659260841701"/>
      </left>
      <right/>
      <top style="slantDashDot">
        <color theme="4" tint="-0.24994659260841701"/>
      </top>
      <bottom style="slantDashDot">
        <color theme="9" tint="0.39994506668294322"/>
      </bottom>
      <diagonal/>
    </border>
    <border>
      <left/>
      <right/>
      <top style="slantDashDot">
        <color theme="4" tint="-0.24994659260841701"/>
      </top>
      <bottom style="slantDashDot">
        <color theme="9" tint="0.39994506668294322"/>
      </bottom>
      <diagonal/>
    </border>
    <border>
      <left/>
      <right style="slantDashDot">
        <color theme="4" tint="-0.24994659260841701"/>
      </right>
      <top style="slantDashDot">
        <color theme="4" tint="-0.24994659260841701"/>
      </top>
      <bottom style="slantDashDot">
        <color theme="9" tint="0.39994506668294322"/>
      </bottom>
      <diagonal/>
    </border>
    <border>
      <left style="thin">
        <color rgb="FF000066"/>
      </left>
      <right style="thin">
        <color rgb="FF000066"/>
      </right>
      <top style="thin">
        <color rgb="FF000066"/>
      </top>
      <bottom style="thin">
        <color rgb="FF000066"/>
      </bottom>
      <diagonal/>
    </border>
    <border>
      <left style="mediumDashDot">
        <color auto="1"/>
      </left>
      <right style="mediumDashDot">
        <color theme="9"/>
      </right>
      <top style="mediumDashDot">
        <color auto="1"/>
      </top>
      <bottom style="mediumDashDot">
        <color theme="9"/>
      </bottom>
      <diagonal/>
    </border>
    <border>
      <left style="mediumDashDot">
        <color theme="9"/>
      </left>
      <right style="mediumDashDot">
        <color theme="9"/>
      </right>
      <top style="mediumDashDot">
        <color auto="1"/>
      </top>
      <bottom style="mediumDashDot">
        <color theme="9"/>
      </bottom>
      <diagonal/>
    </border>
    <border>
      <left style="mediumDashDot">
        <color theme="9"/>
      </left>
      <right style="mediumDashDot">
        <color auto="1"/>
      </right>
      <top style="mediumDashDot">
        <color auto="1"/>
      </top>
      <bottom style="mediumDashDot">
        <color theme="9"/>
      </bottom>
      <diagonal/>
    </border>
    <border>
      <left style="mediumDashDot">
        <color auto="1"/>
      </left>
      <right style="mediumDashDot">
        <color theme="9"/>
      </right>
      <top style="mediumDashDot">
        <color theme="9"/>
      </top>
      <bottom style="mediumDashDot">
        <color theme="9"/>
      </bottom>
      <diagonal/>
    </border>
    <border>
      <left style="mediumDashDot">
        <color theme="9"/>
      </left>
      <right style="mediumDashDot">
        <color theme="9"/>
      </right>
      <top style="mediumDashDot">
        <color theme="9"/>
      </top>
      <bottom style="mediumDashDot">
        <color theme="9"/>
      </bottom>
      <diagonal/>
    </border>
    <border>
      <left style="mediumDashDot">
        <color theme="9"/>
      </left>
      <right style="mediumDashDot">
        <color auto="1"/>
      </right>
      <top style="mediumDashDot">
        <color theme="9"/>
      </top>
      <bottom style="mediumDashDot">
        <color theme="9"/>
      </bottom>
      <diagonal/>
    </border>
    <border>
      <left style="mediumDashDot">
        <color auto="1"/>
      </left>
      <right style="mediumDashDot">
        <color theme="9"/>
      </right>
      <top style="mediumDashDot">
        <color theme="9"/>
      </top>
      <bottom style="mediumDashDot">
        <color auto="1"/>
      </bottom>
      <diagonal/>
    </border>
    <border>
      <left style="mediumDashDot">
        <color theme="9"/>
      </left>
      <right style="mediumDashDot">
        <color theme="9"/>
      </right>
      <top style="mediumDashDot">
        <color theme="9"/>
      </top>
      <bottom style="mediumDashDot">
        <color auto="1"/>
      </bottom>
      <diagonal/>
    </border>
    <border>
      <left style="mediumDashDot">
        <color theme="9"/>
      </left>
      <right style="mediumDashDot">
        <color auto="1"/>
      </right>
      <top style="mediumDashDot">
        <color theme="9"/>
      </top>
      <bottom style="mediumDashDot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0" fontId="4" fillId="4" borderId="1" xfId="0" applyFont="1" applyFill="1" applyBorder="1"/>
    <xf numFmtId="0" fontId="0" fillId="4" borderId="1" xfId="0" applyFill="1" applyBorder="1"/>
    <xf numFmtId="0" fontId="2" fillId="4" borderId="1" xfId="0" applyFont="1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0" fontId="5" fillId="4" borderId="1" xfId="0" applyFont="1" applyFill="1" applyBorder="1"/>
    <xf numFmtId="0" fontId="6" fillId="4" borderId="1" xfId="0" applyFont="1" applyFill="1" applyBorder="1"/>
    <xf numFmtId="0" fontId="7" fillId="6" borderId="11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1" xfId="0" applyFont="1" applyFill="1" applyBorder="1"/>
    <xf numFmtId="0" fontId="9" fillId="0" borderId="12" xfId="0" applyFont="1" applyBorder="1" applyAlignment="1">
      <alignment horizontal="center" vertical="center" textRotation="255"/>
    </xf>
    <xf numFmtId="0" fontId="10" fillId="5" borderId="13" xfId="0" applyFont="1" applyFill="1" applyBorder="1" applyAlignment="1">
      <alignment horizontal="center" vertical="top"/>
    </xf>
    <xf numFmtId="0" fontId="10" fillId="5" borderId="14" xfId="0" applyFont="1" applyFill="1" applyBorder="1" applyAlignment="1">
      <alignment horizontal="center" vertical="top"/>
    </xf>
    <xf numFmtId="0" fontId="9" fillId="0" borderId="15" xfId="0" applyFont="1" applyBorder="1" applyAlignment="1">
      <alignment horizontal="center" vertical="center" textRotation="255"/>
    </xf>
    <xf numFmtId="0" fontId="10" fillId="5" borderId="16" xfId="0" applyFont="1" applyFill="1" applyBorder="1" applyAlignment="1">
      <alignment horizontal="center" vertical="top"/>
    </xf>
    <xf numFmtId="0" fontId="10" fillId="5" borderId="17" xfId="0" applyFont="1" applyFill="1" applyBorder="1" applyAlignment="1">
      <alignment horizontal="center" vertical="top"/>
    </xf>
    <xf numFmtId="0" fontId="9" fillId="0" borderId="18" xfId="0" applyFont="1" applyBorder="1" applyAlignment="1">
      <alignment horizontal="center" vertical="center" textRotation="255"/>
    </xf>
    <xf numFmtId="0" fontId="10" fillId="5" borderId="19" xfId="0" applyFont="1" applyFill="1" applyBorder="1" applyAlignment="1">
      <alignment horizontal="center" vertical="top"/>
    </xf>
    <xf numFmtId="0" fontId="10" fillId="5" borderId="20" xfId="0" applyFont="1" applyFill="1" applyBorder="1" applyAlignment="1">
      <alignment horizontal="center" vertical="top"/>
    </xf>
    <xf numFmtId="0" fontId="11" fillId="0" borderId="8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 vertical="top"/>
    </xf>
    <xf numFmtId="0" fontId="10" fillId="8" borderId="21" xfId="0" applyFont="1" applyFill="1" applyBorder="1" applyAlignment="1">
      <alignment horizontal="center" vertical="center"/>
    </xf>
    <xf numFmtId="0" fontId="13" fillId="2" borderId="21" xfId="1" applyFont="1" applyFill="1" applyBorder="1" applyAlignment="1">
      <alignment horizontal="center" vertical="center"/>
    </xf>
    <xf numFmtId="9" fontId="10" fillId="2" borderId="21" xfId="1" applyNumberFormat="1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indexed="65"/>
        </patternFill>
      </fill>
    </dxf>
  </dxfs>
  <tableStyles count="0" defaultTableStyle="TableStyleMedium2" defaultPivotStyle="PivotStyleLight16"/>
  <colors>
    <mruColors>
      <color rgb="FF00FF00"/>
      <color rgb="FF000066"/>
      <color rgb="FF9900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1B30-550B-495C-AB3E-64655EDA23B7}">
  <sheetPr filterMode="1"/>
  <dimension ref="A1:XFD109867"/>
  <sheetViews>
    <sheetView zoomScale="62" zoomScaleNormal="10" workbookViewId="0"/>
  </sheetViews>
  <sheetFormatPr defaultRowHeight="15"/>
  <cols>
    <col min="1" max="10" width="8.5703125" style="2" bestFit="1" customWidth="1"/>
    <col min="11" max="12" width="9.140625" style="2"/>
    <col min="13" max="14" width="9.7109375" style="2" bestFit="1" customWidth="1"/>
    <col min="15" max="15" width="9.140625" style="2"/>
    <col min="16" max="16" width="7.7109375" style="2" bestFit="1" customWidth="1"/>
    <col min="17" max="17" width="9.140625" style="2"/>
    <col min="18" max="18" width="8.85546875" style="2" bestFit="1" customWidth="1"/>
    <col min="19" max="19" width="9.140625" style="2"/>
    <col min="20" max="20" width="7.42578125" style="2" bestFit="1" customWidth="1"/>
    <col min="21" max="22" width="9.140625" style="2"/>
    <col min="23" max="23" width="11.140625" style="2" bestFit="1" customWidth="1"/>
    <col min="24" max="24" width="28.5703125" style="2" bestFit="1" customWidth="1"/>
    <col min="25" max="16383" width="9.140625" style="2"/>
    <col min="16384" max="16384" width="8.28515625" style="2" bestFit="1" customWidth="1"/>
  </cols>
  <sheetData>
    <row r="1" spans="1:24" ht="50.25">
      <c r="A1" s="1">
        <v>1</v>
      </c>
      <c r="B1" s="1">
        <v>2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/>
      <c r="M1" s="6" t="s">
        <v>2</v>
      </c>
      <c r="N1" s="7" t="s">
        <v>9</v>
      </c>
      <c r="P1" s="2" t="s">
        <v>21</v>
      </c>
      <c r="R1" s="2">
        <v>1234</v>
      </c>
      <c r="T1" s="2" t="s">
        <v>22</v>
      </c>
      <c r="W1" s="2">
        <v>27.500019999999999</v>
      </c>
    </row>
    <row r="2" spans="1:24" ht="5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/>
      <c r="M2" s="6" t="s">
        <v>3</v>
      </c>
      <c r="N2" s="7" t="s">
        <v>10</v>
      </c>
      <c r="P2" s="2" t="s">
        <v>21</v>
      </c>
      <c r="R2" s="2">
        <v>343</v>
      </c>
    </row>
    <row r="3" spans="1:24" ht="50.25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/>
      <c r="M3" s="6" t="s">
        <v>4</v>
      </c>
      <c r="N3" s="7" t="s">
        <v>11</v>
      </c>
      <c r="P3" s="2" t="s">
        <v>21</v>
      </c>
      <c r="R3" s="2">
        <v>434</v>
      </c>
      <c r="T3" s="2" t="s">
        <v>23</v>
      </c>
    </row>
    <row r="4" spans="1:24" ht="50.25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/>
      <c r="M4" s="6" t="s">
        <v>5</v>
      </c>
      <c r="N4" s="7" t="s">
        <v>12</v>
      </c>
      <c r="P4" s="2" t="s">
        <v>21</v>
      </c>
      <c r="R4" s="2">
        <v>56</v>
      </c>
      <c r="U4" s="4"/>
      <c r="X4" s="5">
        <v>46000</v>
      </c>
    </row>
    <row r="5" spans="1:24" ht="50.25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/>
      <c r="M5" s="6" t="s">
        <v>6</v>
      </c>
      <c r="N5" s="7" t="s">
        <v>13</v>
      </c>
      <c r="P5" s="2" t="s">
        <v>21</v>
      </c>
      <c r="R5" s="2">
        <v>56767</v>
      </c>
    </row>
    <row r="6" spans="1:24" ht="50.25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/>
      <c r="M6" s="6" t="s">
        <v>7</v>
      </c>
      <c r="N6" s="7" t="s">
        <v>14</v>
      </c>
      <c r="P6" s="2" t="s">
        <v>21</v>
      </c>
      <c r="R6" s="2">
        <v>87</v>
      </c>
      <c r="T6" s="2">
        <f>+R8</f>
        <v>58921</v>
      </c>
    </row>
    <row r="7" spans="1:24" ht="50.25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/>
      <c r="M7" s="6" t="s">
        <v>8</v>
      </c>
      <c r="N7" s="7" t="s">
        <v>15</v>
      </c>
      <c r="P7" s="2" t="s">
        <v>21</v>
      </c>
    </row>
    <row r="8" spans="1:24" ht="50.25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/>
      <c r="M8" s="6" t="s">
        <v>2</v>
      </c>
      <c r="N8" s="7" t="s">
        <v>16</v>
      </c>
      <c r="P8" s="2" t="s">
        <v>21</v>
      </c>
      <c r="R8" s="3">
        <f>SUM(R1:R7)</f>
        <v>58921</v>
      </c>
    </row>
    <row r="9" spans="1:24" ht="50.25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/>
      <c r="M9" s="7" t="s">
        <v>3</v>
      </c>
      <c r="N9" s="7" t="s">
        <v>17</v>
      </c>
    </row>
    <row r="10" spans="1:24" ht="50.25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/>
      <c r="M10" s="7" t="s">
        <v>4</v>
      </c>
      <c r="N10" s="7" t="s">
        <v>18</v>
      </c>
    </row>
    <row r="11" spans="1:24" ht="50.25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/>
      <c r="M11" s="7" t="s">
        <v>5</v>
      </c>
      <c r="N11" s="7" t="s">
        <v>19</v>
      </c>
    </row>
    <row r="12" spans="1:24" ht="50.25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/>
      <c r="M12" s="7" t="s">
        <v>6</v>
      </c>
      <c r="N12" s="7" t="s">
        <v>20</v>
      </c>
    </row>
    <row r="13" spans="1:24" ht="50.25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/>
    </row>
    <row r="14" spans="1:24" ht="50.25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/>
    </row>
    <row r="15" spans="1:24" ht="50.25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/>
    </row>
    <row r="16" spans="1:24" ht="50.25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/>
    </row>
    <row r="17" spans="1:11" ht="50.25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/>
    </row>
    <row r="18" spans="1:11" ht="50.25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/>
    </row>
    <row r="19" spans="1:11" ht="50.25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/>
    </row>
    <row r="20" spans="1:11" ht="50.25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/>
    </row>
    <row r="19057" spans="16384:16384">
      <c r="XFD19057" s="2" t="s">
        <v>1</v>
      </c>
    </row>
    <row r="109867" spans="16384:16384">
      <c r="XFD109867" s="2" t="s">
        <v>0</v>
      </c>
    </row>
  </sheetData>
  <autoFilter ref="P1:P8" xr:uid="{26DC1B30-550B-495C-AB3E-64655EDA23B7}">
    <filterColumn colId="0">
      <colorFilter dxfId="1" cellColor="0"/>
    </filterColumn>
  </autoFilter>
  <phoneticPr fontId="3" type="noConversion"/>
  <conditionalFormatting sqref="R1:R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top10" dxfId="0" priority="2" percent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83A5-EE87-4B18-B583-3310CE34B5D0}">
  <dimension ref="B1:O11"/>
  <sheetViews>
    <sheetView tabSelected="1" zoomScale="88" zoomScaleNormal="10" workbookViewId="0">
      <selection activeCell="E13" sqref="E13"/>
    </sheetView>
  </sheetViews>
  <sheetFormatPr defaultRowHeight="15"/>
  <cols>
    <col min="1" max="1" width="10.7109375" bestFit="1" customWidth="1"/>
    <col min="2" max="2" width="15.140625" bestFit="1" customWidth="1"/>
    <col min="3" max="5" width="7.7109375" bestFit="1" customWidth="1"/>
    <col min="6" max="6" width="9.5703125" bestFit="1" customWidth="1"/>
    <col min="7" max="7" width="11.42578125" bestFit="1" customWidth="1"/>
    <col min="8" max="8" width="8.5703125" bestFit="1" customWidth="1"/>
    <col min="9" max="9" width="17.5703125" bestFit="1" customWidth="1"/>
    <col min="10" max="10" width="6.28515625" bestFit="1" customWidth="1"/>
    <col min="11" max="11" width="7.28515625" bestFit="1" customWidth="1"/>
    <col min="12" max="12" width="9" bestFit="1" customWidth="1"/>
    <col min="13" max="13" width="7.5703125" bestFit="1" customWidth="1"/>
    <col min="14" max="14" width="16.85546875" bestFit="1" customWidth="1"/>
    <col min="15" max="15" width="10.42578125" bestFit="1" customWidth="1"/>
  </cols>
  <sheetData>
    <row r="1" spans="2:15" ht="18">
      <c r="B1" s="29" t="s">
        <v>24</v>
      </c>
      <c r="C1" s="29" t="s">
        <v>25</v>
      </c>
      <c r="D1" s="29" t="s">
        <v>26</v>
      </c>
      <c r="E1" s="29" t="s">
        <v>27</v>
      </c>
      <c r="F1" s="29" t="s">
        <v>31</v>
      </c>
      <c r="G1" s="29" t="s">
        <v>28</v>
      </c>
      <c r="H1" s="29" t="s">
        <v>29</v>
      </c>
      <c r="I1" s="29" t="s">
        <v>30</v>
      </c>
      <c r="J1" s="29" t="s">
        <v>45</v>
      </c>
      <c r="K1" s="29" t="s">
        <v>46</v>
      </c>
      <c r="L1" s="29" t="s">
        <v>47</v>
      </c>
      <c r="M1" s="29" t="s">
        <v>40</v>
      </c>
      <c r="N1" s="29" t="s">
        <v>41</v>
      </c>
      <c r="O1" s="29" t="s">
        <v>54</v>
      </c>
    </row>
    <row r="2" spans="2:15" ht="18">
      <c r="B2" s="30" t="s">
        <v>33</v>
      </c>
      <c r="C2" s="30">
        <v>65</v>
      </c>
      <c r="D2" s="30">
        <v>50</v>
      </c>
      <c r="E2" s="30">
        <v>79</v>
      </c>
      <c r="F2" s="30" t="s">
        <v>42</v>
      </c>
      <c r="G2" s="30">
        <v>45</v>
      </c>
      <c r="H2" s="30">
        <v>88</v>
      </c>
      <c r="I2" s="30">
        <v>90</v>
      </c>
      <c r="J2" s="30">
        <f t="shared" ref="J2:J9" si="0">MIN(C2,D2,E2,G2,H2,I2)</f>
        <v>45</v>
      </c>
      <c r="K2" s="30">
        <f t="shared" ref="K2:K9" si="1">MAX(C2,D2,E2,G2,H2,I2)</f>
        <v>90</v>
      </c>
      <c r="L2" s="30" t="str">
        <f>IF(Sheet2!$M2&gt;=450,"A","B")</f>
        <v>B</v>
      </c>
      <c r="M2" s="31">
        <f>Sheet2!$C2+Sheet2!$D2+Sheet2!$E2+Sheet2!$G2+Sheet2!$H2+Sheet2!$I2</f>
        <v>417</v>
      </c>
      <c r="N2" s="32">
        <f>Sheet2!$M2/$G$11</f>
        <v>0.83399999999999996</v>
      </c>
      <c r="O2" s="30" t="str">
        <f>IF(Sheet2!$N2&gt;=80%,"A+",IF(N2&gt;=70%,"B",IF(N2&gt;=60%,"C")))</f>
        <v>A+</v>
      </c>
    </row>
    <row r="3" spans="2:15" ht="18">
      <c r="B3" s="33" t="s">
        <v>39</v>
      </c>
      <c r="C3" s="33">
        <v>69</v>
      </c>
      <c r="D3" s="33">
        <v>65</v>
      </c>
      <c r="E3" s="33">
        <v>81</v>
      </c>
      <c r="F3" s="33" t="s">
        <v>42</v>
      </c>
      <c r="G3" s="33">
        <v>86</v>
      </c>
      <c r="H3" s="33">
        <v>50</v>
      </c>
      <c r="I3" s="33">
        <v>10</v>
      </c>
      <c r="J3" s="33">
        <f t="shared" si="0"/>
        <v>10</v>
      </c>
      <c r="K3" s="33">
        <f t="shared" si="1"/>
        <v>86</v>
      </c>
      <c r="L3" s="33" t="str">
        <f>IF(Sheet2!$M3&gt;=450,"A","B")</f>
        <v>B</v>
      </c>
      <c r="M3" s="31">
        <f>Sheet2!$C3+Sheet2!$D3+Sheet2!$E3+Sheet2!$G3+Sheet2!$H3+Sheet2!$I3</f>
        <v>361</v>
      </c>
      <c r="N3" s="32">
        <f>Sheet2!$M3/$G$11</f>
        <v>0.72199999999999998</v>
      </c>
      <c r="O3" s="33" t="str">
        <f>IF(Sheet2!$N3&gt;=80%,"A+",IF(N3&gt;=70%,"B",IF(N3&gt;=60%,"C")))</f>
        <v>B</v>
      </c>
    </row>
    <row r="4" spans="2:15" ht="18">
      <c r="B4" s="30" t="s">
        <v>36</v>
      </c>
      <c r="C4" s="30">
        <v>60</v>
      </c>
      <c r="D4" s="30">
        <v>70</v>
      </c>
      <c r="E4" s="30">
        <v>97</v>
      </c>
      <c r="F4" s="30" t="s">
        <v>42</v>
      </c>
      <c r="G4" s="30">
        <v>56</v>
      </c>
      <c r="H4" s="30">
        <v>50</v>
      </c>
      <c r="I4" s="30">
        <v>99</v>
      </c>
      <c r="J4" s="30">
        <f t="shared" si="0"/>
        <v>50</v>
      </c>
      <c r="K4" s="30">
        <f t="shared" si="1"/>
        <v>99</v>
      </c>
      <c r="L4" s="30" t="str">
        <f>IF(Sheet2!$M4&gt;=450,"A","B")</f>
        <v>B</v>
      </c>
      <c r="M4" s="31">
        <f>Sheet2!$C4+Sheet2!$D4+Sheet2!$E4+Sheet2!$G4+Sheet2!$H4+Sheet2!$I4</f>
        <v>432</v>
      </c>
      <c r="N4" s="32">
        <f>Sheet2!$M4/$G$11</f>
        <v>0.86399999999999999</v>
      </c>
      <c r="O4" s="30" t="str">
        <f>IF(Sheet2!$N4&gt;=80%,"A+",IF(N4&gt;=70%,"B",IF(N4&gt;=60%,"C")))</f>
        <v>A+</v>
      </c>
    </row>
    <row r="5" spans="2:15" ht="18">
      <c r="B5" s="33" t="s">
        <v>38</v>
      </c>
      <c r="C5" s="33">
        <v>93</v>
      </c>
      <c r="D5" s="33">
        <v>88</v>
      </c>
      <c r="E5" s="33">
        <v>66</v>
      </c>
      <c r="F5" s="33" t="s">
        <v>42</v>
      </c>
      <c r="G5" s="33">
        <v>76</v>
      </c>
      <c r="H5" s="33">
        <v>50</v>
      </c>
      <c r="I5" s="33">
        <v>90</v>
      </c>
      <c r="J5" s="33">
        <f t="shared" si="0"/>
        <v>50</v>
      </c>
      <c r="K5" s="33">
        <f t="shared" si="1"/>
        <v>93</v>
      </c>
      <c r="L5" s="33" t="str">
        <f>IF(Sheet2!$M5&gt;=450,"A","B")</f>
        <v>A</v>
      </c>
      <c r="M5" s="31">
        <f>Sheet2!$C5+Sheet2!$D5+Sheet2!$E5+Sheet2!$G5+Sheet2!$H5+Sheet2!$I5</f>
        <v>463</v>
      </c>
      <c r="N5" s="32">
        <f>Sheet2!$M5/$G$11</f>
        <v>0.92600000000000005</v>
      </c>
      <c r="O5" s="33" t="str">
        <f>IF(Sheet2!$N5&gt;=80%,"A+",IF(N5&gt;=70%,"B",IF(N5&gt;=60%,"C")))</f>
        <v>A+</v>
      </c>
    </row>
    <row r="6" spans="2:15" ht="18">
      <c r="B6" s="30" t="s">
        <v>37</v>
      </c>
      <c r="C6" s="30">
        <v>79</v>
      </c>
      <c r="D6" s="30">
        <v>66</v>
      </c>
      <c r="E6" s="30">
        <v>67</v>
      </c>
      <c r="F6" s="30" t="s">
        <v>42</v>
      </c>
      <c r="G6" s="30">
        <v>40</v>
      </c>
      <c r="H6" s="30">
        <v>50</v>
      </c>
      <c r="I6" s="30">
        <v>99</v>
      </c>
      <c r="J6" s="30">
        <f t="shared" si="0"/>
        <v>40</v>
      </c>
      <c r="K6" s="30">
        <f t="shared" si="1"/>
        <v>99</v>
      </c>
      <c r="L6" s="30" t="str">
        <f>IF(Sheet2!$M6&gt;=450,"A","B")</f>
        <v>B</v>
      </c>
      <c r="M6" s="31">
        <f>Sheet2!$C6+Sheet2!$D6+Sheet2!$E6+Sheet2!$G6+Sheet2!$H6+Sheet2!$I6</f>
        <v>401</v>
      </c>
      <c r="N6" s="32">
        <f>Sheet2!$M6/$G$11</f>
        <v>0.80200000000000005</v>
      </c>
      <c r="O6" s="30" t="str">
        <f>IF(Sheet2!$N6&gt;=80%,"A+",IF(N6&gt;=70%,"B",IF(N6&gt;=60%,"C")))</f>
        <v>A+</v>
      </c>
    </row>
    <row r="7" spans="2:15" ht="18">
      <c r="B7" s="33" t="s">
        <v>34</v>
      </c>
      <c r="C7" s="33">
        <v>77</v>
      </c>
      <c r="D7" s="33">
        <v>89</v>
      </c>
      <c r="E7" s="33">
        <v>80</v>
      </c>
      <c r="F7" s="33" t="s">
        <v>42</v>
      </c>
      <c r="G7" s="33">
        <v>78</v>
      </c>
      <c r="H7" s="33">
        <v>90</v>
      </c>
      <c r="I7" s="33">
        <v>80</v>
      </c>
      <c r="J7" s="33">
        <f t="shared" si="0"/>
        <v>77</v>
      </c>
      <c r="K7" s="33">
        <f t="shared" si="1"/>
        <v>90</v>
      </c>
      <c r="L7" s="33" t="str">
        <f>IF(Sheet2!$M7&gt;=450,"A","B")</f>
        <v>A</v>
      </c>
      <c r="M7" s="31">
        <f>Sheet2!$C7+Sheet2!$D7+Sheet2!$E7+Sheet2!$G7+Sheet2!$H7+Sheet2!$I7</f>
        <v>494</v>
      </c>
      <c r="N7" s="32">
        <f>Sheet2!$M7/$G$11</f>
        <v>0.98799999999999999</v>
      </c>
      <c r="O7" s="33" t="str">
        <f>IF(Sheet2!$N7&gt;=80%,"A+",IF(N7&gt;=70%,"B",IF(N7&gt;=60%,"C")))</f>
        <v>A+</v>
      </c>
    </row>
    <row r="8" spans="2:15" ht="18">
      <c r="B8" s="30" t="s">
        <v>32</v>
      </c>
      <c r="C8" s="30">
        <v>89</v>
      </c>
      <c r="D8" s="30">
        <v>90</v>
      </c>
      <c r="E8" s="30">
        <v>78</v>
      </c>
      <c r="F8" s="30" t="s">
        <v>42</v>
      </c>
      <c r="G8" s="30">
        <v>87</v>
      </c>
      <c r="H8" s="30">
        <v>50</v>
      </c>
      <c r="I8" s="30">
        <v>30</v>
      </c>
      <c r="J8" s="30">
        <f t="shared" si="0"/>
        <v>30</v>
      </c>
      <c r="K8" s="30">
        <f t="shared" si="1"/>
        <v>90</v>
      </c>
      <c r="L8" s="30" t="str">
        <f>IF(Sheet2!$M8&gt;=450,"A","B")</f>
        <v>B</v>
      </c>
      <c r="M8" s="31">
        <f>Sheet2!$C8+Sheet2!$D8+Sheet2!$E8+Sheet2!$G8+Sheet2!$H8+Sheet2!$I8</f>
        <v>424</v>
      </c>
      <c r="N8" s="32">
        <f>Sheet2!$M8/$G$11</f>
        <v>0.84799999999999998</v>
      </c>
      <c r="O8" s="30" t="str">
        <f>IF(Sheet2!$N8&gt;=80%,"A+",IF(N8&gt;=70%,"B",IF(N8&gt;=60%,"C")))</f>
        <v>A+</v>
      </c>
    </row>
    <row r="9" spans="2:15" ht="18">
      <c r="B9" s="33" t="s">
        <v>35</v>
      </c>
      <c r="C9" s="33">
        <v>70</v>
      </c>
      <c r="D9" s="33">
        <v>60</v>
      </c>
      <c r="E9" s="33">
        <v>50</v>
      </c>
      <c r="F9" s="33" t="s">
        <v>42</v>
      </c>
      <c r="G9" s="33">
        <v>56</v>
      </c>
      <c r="H9" s="33">
        <v>50</v>
      </c>
      <c r="I9" s="33">
        <v>40</v>
      </c>
      <c r="J9" s="33">
        <f t="shared" si="0"/>
        <v>40</v>
      </c>
      <c r="K9" s="33">
        <f t="shared" si="1"/>
        <v>70</v>
      </c>
      <c r="L9" s="33" t="str">
        <f>IF(Sheet2!$M9&gt;=450,"A","B")</f>
        <v>B</v>
      </c>
      <c r="M9" s="31">
        <f>Sheet2!$C9+Sheet2!$D9+Sheet2!$E9+Sheet2!$G9+Sheet2!$H9+Sheet2!$I9</f>
        <v>326</v>
      </c>
      <c r="N9" s="32">
        <f>Sheet2!$M9/$G$11</f>
        <v>0.65200000000000002</v>
      </c>
      <c r="O9" s="33" t="str">
        <f>IF(Sheet2!$N9&gt;=80%,"A+",IF(N9&gt;=70%,"B",IF(N9&gt;=60%,"C")))</f>
        <v>C</v>
      </c>
    </row>
    <row r="11" spans="2:15">
      <c r="G11">
        <v>500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B4FD-204A-4B58-BFDB-AF5F6AF39D86}">
  <dimension ref="B1:AA13"/>
  <sheetViews>
    <sheetView zoomScale="87" zoomScaleNormal="10" workbookViewId="0">
      <selection activeCell="B2" sqref="B2:L2"/>
    </sheetView>
  </sheetViews>
  <sheetFormatPr defaultRowHeight="15"/>
  <cols>
    <col min="2" max="11" width="6" bestFit="1" customWidth="1"/>
    <col min="12" max="12" width="7.5703125" bestFit="1" customWidth="1"/>
    <col min="13" max="15" width="6" bestFit="1" customWidth="1"/>
    <col min="16" max="16" width="4.140625" bestFit="1" customWidth="1"/>
    <col min="17" max="17" width="4.42578125" bestFit="1" customWidth="1"/>
    <col min="18" max="26" width="6" bestFit="1" customWidth="1"/>
    <col min="27" max="27" width="7.5703125" bestFit="1" customWidth="1"/>
  </cols>
  <sheetData>
    <row r="1" spans="2:27" ht="15.75" thickBot="1"/>
    <row r="2" spans="2:27" ht="18.75" thickBot="1">
      <c r="B2" s="20" t="s">
        <v>43</v>
      </c>
      <c r="C2" s="21"/>
      <c r="D2" s="21"/>
      <c r="E2" s="21"/>
      <c r="F2" s="21"/>
      <c r="G2" s="21"/>
      <c r="H2" s="21"/>
      <c r="I2" s="21"/>
      <c r="J2" s="21"/>
      <c r="K2" s="21"/>
      <c r="L2" s="22"/>
      <c r="P2" s="11" t="s">
        <v>44</v>
      </c>
      <c r="Q2" s="12"/>
      <c r="R2" s="12">
        <v>10</v>
      </c>
      <c r="S2" s="12">
        <v>20</v>
      </c>
      <c r="T2" s="12">
        <v>30</v>
      </c>
      <c r="U2" s="12">
        <v>40</v>
      </c>
      <c r="V2" s="12">
        <v>50</v>
      </c>
      <c r="W2" s="12">
        <v>60</v>
      </c>
      <c r="X2" s="12">
        <v>70</v>
      </c>
      <c r="Y2" s="12">
        <v>80</v>
      </c>
      <c r="Z2" s="12">
        <v>90</v>
      </c>
      <c r="AA2" s="13">
        <v>100</v>
      </c>
    </row>
    <row r="3" spans="2:27" ht="18.75" thickBot="1">
      <c r="B3" s="23"/>
      <c r="C3" s="24">
        <v>1</v>
      </c>
      <c r="D3" s="24">
        <v>2</v>
      </c>
      <c r="E3" s="24">
        <v>3</v>
      </c>
      <c r="F3" s="24">
        <v>4</v>
      </c>
      <c r="G3" s="24">
        <v>5</v>
      </c>
      <c r="H3" s="24">
        <v>6</v>
      </c>
      <c r="I3" s="24">
        <v>7</v>
      </c>
      <c r="J3" s="24">
        <v>8</v>
      </c>
      <c r="K3" s="24">
        <v>9</v>
      </c>
      <c r="L3" s="25">
        <v>10</v>
      </c>
      <c r="P3" s="14"/>
      <c r="Q3" s="15">
        <v>1</v>
      </c>
      <c r="R3" s="15">
        <f>R$2*$Q3</f>
        <v>10</v>
      </c>
      <c r="S3" s="15">
        <f>S$2*$Q3</f>
        <v>20</v>
      </c>
      <c r="T3" s="15">
        <f>T$2*$Q3</f>
        <v>30</v>
      </c>
      <c r="U3" s="15">
        <f>U$2*$Q3</f>
        <v>40</v>
      </c>
      <c r="V3" s="15">
        <f>V$2*$Q3</f>
        <v>50</v>
      </c>
      <c r="W3" s="15">
        <f>W$2*$Q3</f>
        <v>60</v>
      </c>
      <c r="X3" s="15">
        <f>X$2*$Q3</f>
        <v>70</v>
      </c>
      <c r="Y3" s="15">
        <f>Y$2*$Q3</f>
        <v>80</v>
      </c>
      <c r="Z3" s="15">
        <f>Z$2*$Q3</f>
        <v>90</v>
      </c>
      <c r="AA3" s="16">
        <f>AA$2*$Q3</f>
        <v>100</v>
      </c>
    </row>
    <row r="4" spans="2:27" ht="18.75" thickBot="1">
      <c r="B4" s="23">
        <v>10</v>
      </c>
      <c r="C4" s="24">
        <f>$B4*C$3</f>
        <v>10</v>
      </c>
      <c r="D4" s="24">
        <f>$B4*D$3</f>
        <v>20</v>
      </c>
      <c r="E4" s="24">
        <f>$B4*E$3</f>
        <v>30</v>
      </c>
      <c r="F4" s="24">
        <f>$B4*F$3</f>
        <v>40</v>
      </c>
      <c r="G4" s="24">
        <f>$B4*G$3</f>
        <v>50</v>
      </c>
      <c r="H4" s="24">
        <f>$B4*H$3</f>
        <v>60</v>
      </c>
      <c r="I4" s="24">
        <f>$B4*I$3</f>
        <v>70</v>
      </c>
      <c r="J4" s="24">
        <f>$B4*J$3</f>
        <v>80</v>
      </c>
      <c r="K4" s="24">
        <f>$B4*K$3</f>
        <v>90</v>
      </c>
      <c r="L4" s="25">
        <f>$B4*L$3</f>
        <v>100</v>
      </c>
      <c r="P4" s="14"/>
      <c r="Q4" s="15">
        <v>2</v>
      </c>
      <c r="R4" s="15">
        <f>R$2*$Q4</f>
        <v>20</v>
      </c>
      <c r="S4" s="15">
        <f>S$2*$Q4</f>
        <v>40</v>
      </c>
      <c r="T4" s="15">
        <f>T$2*$Q4</f>
        <v>60</v>
      </c>
      <c r="U4" s="15">
        <f>U$2*$Q4</f>
        <v>80</v>
      </c>
      <c r="V4" s="15">
        <f>V$2*$Q4</f>
        <v>100</v>
      </c>
      <c r="W4" s="15">
        <f>W$2*$Q4</f>
        <v>120</v>
      </c>
      <c r="X4" s="15">
        <f>X$2*$Q4</f>
        <v>140</v>
      </c>
      <c r="Y4" s="15">
        <f>Y$2*$Q4</f>
        <v>160</v>
      </c>
      <c r="Z4" s="15">
        <f>Z$2*$Q4</f>
        <v>180</v>
      </c>
      <c r="AA4" s="16">
        <f>AA$2*$Q4</f>
        <v>200</v>
      </c>
    </row>
    <row r="5" spans="2:27" ht="18.75" thickBot="1">
      <c r="B5" s="23">
        <v>20</v>
      </c>
      <c r="C5" s="24">
        <f>$B5*C$3</f>
        <v>20</v>
      </c>
      <c r="D5" s="24">
        <f>$B5*D$3</f>
        <v>40</v>
      </c>
      <c r="E5" s="24">
        <f>$B5*E$3</f>
        <v>60</v>
      </c>
      <c r="F5" s="24">
        <f>$B5*F$3</f>
        <v>80</v>
      </c>
      <c r="G5" s="24">
        <f>$B5*G$3</f>
        <v>100</v>
      </c>
      <c r="H5" s="24">
        <f>$B5*H$3</f>
        <v>120</v>
      </c>
      <c r="I5" s="24">
        <f>$B5*I$3</f>
        <v>140</v>
      </c>
      <c r="J5" s="24">
        <f>$B5*J$3</f>
        <v>160</v>
      </c>
      <c r="K5" s="24">
        <f>$B5*K$3</f>
        <v>180</v>
      </c>
      <c r="L5" s="25">
        <f>$B5*L$3</f>
        <v>200</v>
      </c>
      <c r="P5" s="14"/>
      <c r="Q5" s="15">
        <v>3</v>
      </c>
      <c r="R5" s="15">
        <f>R$2*$Q5</f>
        <v>30</v>
      </c>
      <c r="S5" s="15">
        <f>S$2*$Q5</f>
        <v>60</v>
      </c>
      <c r="T5" s="15">
        <f>T$2*$Q5</f>
        <v>90</v>
      </c>
      <c r="U5" s="15">
        <f>U$2*$Q5</f>
        <v>120</v>
      </c>
      <c r="V5" s="15">
        <f>V$2*$Q5</f>
        <v>150</v>
      </c>
      <c r="W5" s="15">
        <f>W$2*$Q5</f>
        <v>180</v>
      </c>
      <c r="X5" s="15">
        <f>X$2*$Q5</f>
        <v>210</v>
      </c>
      <c r="Y5" s="15">
        <f>Y$2*$Q5</f>
        <v>240</v>
      </c>
      <c r="Z5" s="15">
        <f>Z$2*$Q5</f>
        <v>270</v>
      </c>
      <c r="AA5" s="16">
        <f>AA$2*$Q5</f>
        <v>300</v>
      </c>
    </row>
    <row r="6" spans="2:27" ht="18.75" thickBot="1">
      <c r="B6" s="23">
        <v>30</v>
      </c>
      <c r="C6" s="24">
        <f>$B6*C$3</f>
        <v>30</v>
      </c>
      <c r="D6" s="24">
        <f>$B6*D$3</f>
        <v>60</v>
      </c>
      <c r="E6" s="24">
        <f>$B6*E$3</f>
        <v>90</v>
      </c>
      <c r="F6" s="24">
        <f>$B6*F$3</f>
        <v>120</v>
      </c>
      <c r="G6" s="24">
        <f>$B6*G$3</f>
        <v>150</v>
      </c>
      <c r="H6" s="24">
        <f>$B6*H$3</f>
        <v>180</v>
      </c>
      <c r="I6" s="24">
        <f>$B6*I$3</f>
        <v>210</v>
      </c>
      <c r="J6" s="24">
        <f>$B6*J$3</f>
        <v>240</v>
      </c>
      <c r="K6" s="24">
        <f>$B6*K$3</f>
        <v>270</v>
      </c>
      <c r="L6" s="25">
        <f>$B6*L$3</f>
        <v>300</v>
      </c>
      <c r="P6" s="14"/>
      <c r="Q6" s="15">
        <v>4</v>
      </c>
      <c r="R6" s="15">
        <f>R$2*$Q6</f>
        <v>40</v>
      </c>
      <c r="S6" s="15">
        <f>S$2*$Q6</f>
        <v>80</v>
      </c>
      <c r="T6" s="15">
        <f>T$2*$Q6</f>
        <v>120</v>
      </c>
      <c r="U6" s="15">
        <f>U$2*$Q6</f>
        <v>160</v>
      </c>
      <c r="V6" s="15">
        <f>V$2*$Q6</f>
        <v>200</v>
      </c>
      <c r="W6" s="15">
        <f>W$2*$Q6</f>
        <v>240</v>
      </c>
      <c r="X6" s="15">
        <f>X$2*$Q6</f>
        <v>280</v>
      </c>
      <c r="Y6" s="15">
        <f>Y$2*$Q6</f>
        <v>320</v>
      </c>
      <c r="Z6" s="15">
        <f>Z$2*$Q6</f>
        <v>360</v>
      </c>
      <c r="AA6" s="16">
        <f>AA$2*$Q6</f>
        <v>400</v>
      </c>
    </row>
    <row r="7" spans="2:27" ht="18.75" thickBot="1">
      <c r="B7" s="23">
        <v>40</v>
      </c>
      <c r="C7" s="24">
        <f>$B7*C$3</f>
        <v>40</v>
      </c>
      <c r="D7" s="24">
        <f>$B7*D$3</f>
        <v>80</v>
      </c>
      <c r="E7" s="24">
        <f>$B7*E$3</f>
        <v>120</v>
      </c>
      <c r="F7" s="24">
        <f>$B7*F$3</f>
        <v>160</v>
      </c>
      <c r="G7" s="24">
        <f>$B7*G$3</f>
        <v>200</v>
      </c>
      <c r="H7" s="24">
        <f>$B7*H$3</f>
        <v>240</v>
      </c>
      <c r="I7" s="24">
        <f>$B7*I$3</f>
        <v>280</v>
      </c>
      <c r="J7" s="24">
        <f>$B7*J$3</f>
        <v>320</v>
      </c>
      <c r="K7" s="24">
        <f>$B7*K$3</f>
        <v>360</v>
      </c>
      <c r="L7" s="25">
        <f>$B7*L$3</f>
        <v>400</v>
      </c>
      <c r="P7" s="14"/>
      <c r="Q7" s="15">
        <v>5</v>
      </c>
      <c r="R7" s="15">
        <f>R$2*$Q7</f>
        <v>50</v>
      </c>
      <c r="S7" s="15">
        <f>S$2*$Q7</f>
        <v>100</v>
      </c>
      <c r="T7" s="15">
        <f>T$2*$Q7</f>
        <v>150</v>
      </c>
      <c r="U7" s="15">
        <f>U$2*$Q7</f>
        <v>200</v>
      </c>
      <c r="V7" s="15">
        <f>V$2*$Q7</f>
        <v>250</v>
      </c>
      <c r="W7" s="15">
        <f>W$2*$Q7</f>
        <v>300</v>
      </c>
      <c r="X7" s="15">
        <f>X$2*$Q7</f>
        <v>350</v>
      </c>
      <c r="Y7" s="15">
        <f>Y$2*$Q7</f>
        <v>400</v>
      </c>
      <c r="Z7" s="15">
        <f>Z$2*$Q7</f>
        <v>450</v>
      </c>
      <c r="AA7" s="16">
        <f>AA$2*$Q7</f>
        <v>500</v>
      </c>
    </row>
    <row r="8" spans="2:27" ht="18.75" thickBot="1">
      <c r="B8" s="23">
        <v>50</v>
      </c>
      <c r="C8" s="24">
        <f>$B8*C$3</f>
        <v>50</v>
      </c>
      <c r="D8" s="24">
        <f>$B8*D$3</f>
        <v>100</v>
      </c>
      <c r="E8" s="24">
        <f>$B8*E$3</f>
        <v>150</v>
      </c>
      <c r="F8" s="24">
        <f>$B8*F$3</f>
        <v>200</v>
      </c>
      <c r="G8" s="24">
        <f>$B8*G$3</f>
        <v>250</v>
      </c>
      <c r="H8" s="24">
        <f>$B8*H$3</f>
        <v>300</v>
      </c>
      <c r="I8" s="24">
        <f>$B8*I$3</f>
        <v>350</v>
      </c>
      <c r="J8" s="24">
        <f>$B8*J$3</f>
        <v>400</v>
      </c>
      <c r="K8" s="24">
        <f>$B8*K$3</f>
        <v>450</v>
      </c>
      <c r="L8" s="25">
        <f>$B8*L$3</f>
        <v>500</v>
      </c>
      <c r="P8" s="14"/>
      <c r="Q8" s="15">
        <v>6</v>
      </c>
      <c r="R8" s="15">
        <f>R$2*$Q8</f>
        <v>60</v>
      </c>
      <c r="S8" s="15">
        <f>S$2*$Q8</f>
        <v>120</v>
      </c>
      <c r="T8" s="15">
        <f>T$2*$Q8</f>
        <v>180</v>
      </c>
      <c r="U8" s="15">
        <f>U$2*$Q8</f>
        <v>240</v>
      </c>
      <c r="V8" s="15">
        <f>V$2*$Q8</f>
        <v>300</v>
      </c>
      <c r="W8" s="15">
        <f>W$2*$Q8</f>
        <v>360</v>
      </c>
      <c r="X8" s="15">
        <f>X$2*$Q8</f>
        <v>420</v>
      </c>
      <c r="Y8" s="15">
        <f>Y$2*$Q8</f>
        <v>480</v>
      </c>
      <c r="Z8" s="15">
        <f>Z$2*$Q8</f>
        <v>540</v>
      </c>
      <c r="AA8" s="16">
        <f>AA$2*$Q8</f>
        <v>600</v>
      </c>
    </row>
    <row r="9" spans="2:27" ht="18.75" thickBot="1">
      <c r="B9" s="23">
        <v>60</v>
      </c>
      <c r="C9" s="24">
        <f>$B9*C$3</f>
        <v>60</v>
      </c>
      <c r="D9" s="24">
        <f>$B9*D$3</f>
        <v>120</v>
      </c>
      <c r="E9" s="24">
        <f>$B9*E$3</f>
        <v>180</v>
      </c>
      <c r="F9" s="24">
        <f>$B9*F$3</f>
        <v>240</v>
      </c>
      <c r="G9" s="24">
        <f>$B9*G$3</f>
        <v>300</v>
      </c>
      <c r="H9" s="24">
        <f>$B9*H$3</f>
        <v>360</v>
      </c>
      <c r="I9" s="24">
        <f>$B9*I$3</f>
        <v>420</v>
      </c>
      <c r="J9" s="24">
        <f>$B9*J$3</f>
        <v>480</v>
      </c>
      <c r="K9" s="24">
        <f>$B9*K$3</f>
        <v>540</v>
      </c>
      <c r="L9" s="25">
        <f>$B9*L$3</f>
        <v>600</v>
      </c>
      <c r="P9" s="14"/>
      <c r="Q9" s="15">
        <v>7</v>
      </c>
      <c r="R9" s="15">
        <f>R$2*$Q9</f>
        <v>70</v>
      </c>
      <c r="S9" s="15">
        <f>S$2*$Q9</f>
        <v>140</v>
      </c>
      <c r="T9" s="15">
        <f>T$2*$Q9</f>
        <v>210</v>
      </c>
      <c r="U9" s="15">
        <f>U$2*$Q9</f>
        <v>280</v>
      </c>
      <c r="V9" s="15">
        <f>V$2*$Q9</f>
        <v>350</v>
      </c>
      <c r="W9" s="15">
        <f>W$2*$Q9</f>
        <v>420</v>
      </c>
      <c r="X9" s="15">
        <f>X$2*$Q9</f>
        <v>490</v>
      </c>
      <c r="Y9" s="15">
        <f>Y$2*$Q9</f>
        <v>560</v>
      </c>
      <c r="Z9" s="15">
        <f>Z$2*$Q9</f>
        <v>630</v>
      </c>
      <c r="AA9" s="16">
        <f>AA$2*$Q9</f>
        <v>700</v>
      </c>
    </row>
    <row r="10" spans="2:27" ht="18.75" thickBot="1">
      <c r="B10" s="23">
        <v>70</v>
      </c>
      <c r="C10" s="24">
        <f>$B10*C$3</f>
        <v>70</v>
      </c>
      <c r="D10" s="24">
        <f>$B10*D$3</f>
        <v>140</v>
      </c>
      <c r="E10" s="24">
        <f>$B10*E$3</f>
        <v>210</v>
      </c>
      <c r="F10" s="24">
        <f>$B10*F$3</f>
        <v>280</v>
      </c>
      <c r="G10" s="24">
        <f>$B10*G$3</f>
        <v>350</v>
      </c>
      <c r="H10" s="24">
        <f>$B10*H$3</f>
        <v>420</v>
      </c>
      <c r="I10" s="24">
        <f>$B10*I$3</f>
        <v>490</v>
      </c>
      <c r="J10" s="24">
        <f>$B10*J$3</f>
        <v>560</v>
      </c>
      <c r="K10" s="24">
        <f>$B10*K$3</f>
        <v>630</v>
      </c>
      <c r="L10" s="25">
        <f>$B10*L$3</f>
        <v>700</v>
      </c>
      <c r="P10" s="14"/>
      <c r="Q10" s="15">
        <v>8</v>
      </c>
      <c r="R10" s="15">
        <f>R$2*$Q10</f>
        <v>80</v>
      </c>
      <c r="S10" s="15">
        <f>S$2*$Q10</f>
        <v>160</v>
      </c>
      <c r="T10" s="15">
        <f>T$2*$Q10</f>
        <v>240</v>
      </c>
      <c r="U10" s="15">
        <f>U$2*$Q10</f>
        <v>320</v>
      </c>
      <c r="V10" s="15">
        <f>V$2*$Q10</f>
        <v>400</v>
      </c>
      <c r="W10" s="15">
        <f>W$2*$Q10</f>
        <v>480</v>
      </c>
      <c r="X10" s="15">
        <f>X$2*$Q10</f>
        <v>560</v>
      </c>
      <c r="Y10" s="15">
        <f>Y$2*$Q10</f>
        <v>640</v>
      </c>
      <c r="Z10" s="15">
        <f>Z$2*$Q10</f>
        <v>720</v>
      </c>
      <c r="AA10" s="16">
        <f>AA$2*$Q10</f>
        <v>800</v>
      </c>
    </row>
    <row r="11" spans="2:27" ht="18.75" thickBot="1">
      <c r="B11" s="23">
        <v>80</v>
      </c>
      <c r="C11" s="24">
        <f>$B11*C$3</f>
        <v>80</v>
      </c>
      <c r="D11" s="24">
        <f>$B11*D$3</f>
        <v>160</v>
      </c>
      <c r="E11" s="24">
        <f>$B11*E$3</f>
        <v>240</v>
      </c>
      <c r="F11" s="24">
        <f>$B11*F$3</f>
        <v>320</v>
      </c>
      <c r="G11" s="24">
        <f>$B11*G$3</f>
        <v>400</v>
      </c>
      <c r="H11" s="24">
        <f>$B11*H$3</f>
        <v>480</v>
      </c>
      <c r="I11" s="24">
        <f>$B11*I$3</f>
        <v>560</v>
      </c>
      <c r="J11" s="24">
        <f>$B11*J$3</f>
        <v>640</v>
      </c>
      <c r="K11" s="24">
        <f>$B11*K$3</f>
        <v>720</v>
      </c>
      <c r="L11" s="25">
        <f>$B11*L$3</f>
        <v>800</v>
      </c>
      <c r="P11" s="14"/>
      <c r="Q11" s="15">
        <v>9</v>
      </c>
      <c r="R11" s="15">
        <f>R$2*$Q11</f>
        <v>90</v>
      </c>
      <c r="S11" s="15">
        <f>S$2*$Q11</f>
        <v>180</v>
      </c>
      <c r="T11" s="15">
        <f>T$2*$Q11</f>
        <v>270</v>
      </c>
      <c r="U11" s="15">
        <f>U$2*$Q11</f>
        <v>360</v>
      </c>
      <c r="V11" s="15">
        <f>V$2*$Q11</f>
        <v>450</v>
      </c>
      <c r="W11" s="15">
        <f>W$2*$Q11</f>
        <v>540</v>
      </c>
      <c r="X11" s="15">
        <f>X$2*$Q11</f>
        <v>630</v>
      </c>
      <c r="Y11" s="15">
        <f>Y$2*$Q11</f>
        <v>720</v>
      </c>
      <c r="Z11" s="15">
        <f>Z$2*$Q11</f>
        <v>810</v>
      </c>
      <c r="AA11" s="16">
        <f>AA$2*$Q11</f>
        <v>900</v>
      </c>
    </row>
    <row r="12" spans="2:27" ht="18.75" thickBot="1">
      <c r="B12" s="23">
        <v>90</v>
      </c>
      <c r="C12" s="24">
        <f>$B12*C$3</f>
        <v>90</v>
      </c>
      <c r="D12" s="24">
        <f>$B12*D$3</f>
        <v>180</v>
      </c>
      <c r="E12" s="24">
        <f>$B12*E$3</f>
        <v>270</v>
      </c>
      <c r="F12" s="24">
        <f>$B12*F$3</f>
        <v>360</v>
      </c>
      <c r="G12" s="24">
        <f>$B12*G$3</f>
        <v>450</v>
      </c>
      <c r="H12" s="24">
        <f>$B12*H$3</f>
        <v>540</v>
      </c>
      <c r="I12" s="24">
        <f>$B12*I$3</f>
        <v>630</v>
      </c>
      <c r="J12" s="24">
        <f>$B12*J$3</f>
        <v>720</v>
      </c>
      <c r="K12" s="24">
        <f>$B12*K$3</f>
        <v>810</v>
      </c>
      <c r="L12" s="25">
        <f>$B12*L$3</f>
        <v>900</v>
      </c>
      <c r="P12" s="17"/>
      <c r="Q12" s="18">
        <v>10</v>
      </c>
      <c r="R12" s="18">
        <f>R$2*$Q12</f>
        <v>100</v>
      </c>
      <c r="S12" s="18">
        <f>S$2*$Q12</f>
        <v>200</v>
      </c>
      <c r="T12" s="18">
        <f>T$2*$Q12</f>
        <v>300</v>
      </c>
      <c r="U12" s="18">
        <f>U$2*$Q12</f>
        <v>400</v>
      </c>
      <c r="V12" s="18">
        <f>V$2*$Q12</f>
        <v>500</v>
      </c>
      <c r="W12" s="18">
        <f>W$2*$Q12</f>
        <v>600</v>
      </c>
      <c r="X12" s="18">
        <f>X$2*$Q12</f>
        <v>700</v>
      </c>
      <c r="Y12" s="18">
        <f>Y$2*$Q12</f>
        <v>800</v>
      </c>
      <c r="Z12" s="18">
        <f>Z$2*$Q12</f>
        <v>900</v>
      </c>
      <c r="AA12" s="19">
        <f>AA$2*$Q12</f>
        <v>1000</v>
      </c>
    </row>
    <row r="13" spans="2:27" ht="18.75" thickBot="1">
      <c r="B13" s="26">
        <v>100</v>
      </c>
      <c r="C13" s="27">
        <f>$B13*C$3</f>
        <v>100</v>
      </c>
      <c r="D13" s="27">
        <f>$B13*D$3</f>
        <v>200</v>
      </c>
      <c r="E13" s="27">
        <f>$B13*E$3</f>
        <v>300</v>
      </c>
      <c r="F13" s="27">
        <f>$B13*F$3</f>
        <v>400</v>
      </c>
      <c r="G13" s="27">
        <f>$B13*G$3</f>
        <v>500</v>
      </c>
      <c r="H13" s="27">
        <f>$B13*H$3</f>
        <v>600</v>
      </c>
      <c r="I13" s="27">
        <f>$B13*I$3</f>
        <v>700</v>
      </c>
      <c r="J13" s="27">
        <f>$B13*J$3</f>
        <v>800</v>
      </c>
      <c r="K13" s="27">
        <f>$B13*K$3</f>
        <v>900</v>
      </c>
      <c r="L13" s="28">
        <f>$B13*L$3</f>
        <v>1000</v>
      </c>
    </row>
  </sheetData>
  <mergeCells count="2">
    <mergeCell ref="B2:L2"/>
    <mergeCell ref="P2:P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AD08-8532-4AB0-B19D-0E9C5A1ABCFE}">
  <dimension ref="E8:H12"/>
  <sheetViews>
    <sheetView zoomScale="64" zoomScaleNormal="10" workbookViewId="0">
      <selection activeCell="E23" sqref="E23"/>
    </sheetView>
  </sheetViews>
  <sheetFormatPr defaultRowHeight="15"/>
  <cols>
    <col min="1" max="1" width="38.42578125" bestFit="1" customWidth="1"/>
    <col min="2" max="2" width="32.5703125" bestFit="1" customWidth="1"/>
    <col min="3" max="3" width="31.140625" bestFit="1" customWidth="1"/>
    <col min="4" max="4" width="35.28515625" bestFit="1" customWidth="1"/>
    <col min="5" max="5" width="27.140625" bestFit="1" customWidth="1"/>
    <col min="6" max="6" width="23.140625" bestFit="1" customWidth="1"/>
    <col min="7" max="7" width="21.5703125" bestFit="1" customWidth="1"/>
    <col min="8" max="8" width="22.85546875" bestFit="1" customWidth="1"/>
    <col min="9" max="9" width="23.140625" bestFit="1" customWidth="1"/>
    <col min="10" max="10" width="21.5703125" bestFit="1" customWidth="1"/>
    <col min="11" max="11" width="22.85546875" bestFit="1" customWidth="1"/>
  </cols>
  <sheetData>
    <row r="8" spans="5:8" ht="50.25">
      <c r="E8" s="8" t="s">
        <v>48</v>
      </c>
      <c r="F8" s="8" t="s">
        <v>50</v>
      </c>
      <c r="G8" s="8" t="s">
        <v>49</v>
      </c>
      <c r="H8" s="8" t="s">
        <v>53</v>
      </c>
    </row>
    <row r="9" spans="5:8" ht="50.25">
      <c r="E9" s="9" t="s">
        <v>0</v>
      </c>
      <c r="F9" s="9">
        <v>3200</v>
      </c>
      <c r="G9" s="9">
        <f>IF(F9&gt;=1000,10/100*F9)</f>
        <v>320</v>
      </c>
      <c r="H9" s="10">
        <f>F9-G9</f>
        <v>2880</v>
      </c>
    </row>
    <row r="10" spans="5:8" ht="50.25">
      <c r="E10" s="9" t="s">
        <v>1</v>
      </c>
      <c r="F10" s="9">
        <v>5700</v>
      </c>
      <c r="G10" s="9">
        <f t="shared" ref="G10:G12" si="0">IF(F10&gt;=1000,10/100*F10)</f>
        <v>570</v>
      </c>
      <c r="H10" s="10">
        <f t="shared" ref="H10:H12" si="1">F10-G10</f>
        <v>5130</v>
      </c>
    </row>
    <row r="11" spans="5:8" ht="50.25">
      <c r="E11" s="9" t="s">
        <v>51</v>
      </c>
      <c r="F11" s="9">
        <v>2374</v>
      </c>
      <c r="G11" s="9">
        <f t="shared" si="0"/>
        <v>237.4</v>
      </c>
      <c r="H11" s="10">
        <f t="shared" si="1"/>
        <v>2136.6</v>
      </c>
    </row>
    <row r="12" spans="5:8" ht="50.25">
      <c r="E12" s="9" t="s">
        <v>52</v>
      </c>
      <c r="F12" s="9">
        <v>15027.9</v>
      </c>
      <c r="G12" s="9">
        <f t="shared" si="0"/>
        <v>1502.79</v>
      </c>
      <c r="H12" s="10">
        <f t="shared" si="1"/>
        <v>13525.11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10CD-FCD4-407F-9BBB-CAD3C44F824D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Sheet1</vt:lpstr>
      <vt:lpstr>Sheet2</vt:lpstr>
      <vt:lpstr>Sheet4</vt:lpstr>
      <vt:lpstr>Sheet6</vt:lpstr>
      <vt:lpstr>Sheet5</vt:lpstr>
      <vt:lpstr>rename</vt:lpstr>
      <vt:lpstr>xyz5</vt:lpstr>
      <vt:lpstr>xyz8</vt:lpstr>
      <vt:lpstr>ytu5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Aakash Mitra</cp:lastModifiedBy>
  <dcterms:created xsi:type="dcterms:W3CDTF">2025-11-20T04:58:57Z</dcterms:created>
  <dcterms:modified xsi:type="dcterms:W3CDTF">2025-12-04T17:29:45Z</dcterms:modified>
</cp:coreProperties>
</file>